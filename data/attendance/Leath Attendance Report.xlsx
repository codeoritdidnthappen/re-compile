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ne 2026" sheetId="9" r:id="rId13"/>
    <sheet state="visible" name="July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6" sheetId="14" r:id="rId18"/>
    <sheet state="visible" name="December 2026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tc={04d2028d-3341-4c94-b1a2-1ed364c24bb2}</author>
    <author>tc={12fcf955-93b6-4a66-8165-2f6459aca100}</author>
    <author>tc={1d429a0e-3e97-4f26-865d-cf99373afd2f}</author>
    <author>tc={22e0213e-eafb-4b14-9008-a8b94c009875}</author>
    <author>tc={29469298-07a6-4135-a52b-8df08f1c07cd}</author>
    <author>tc={2d7ce812-ee5c-466e-a4fc-931a9c9d9f2f}</author>
    <author>tc={31b32f0d-363f-4dd4-bcd9-b4c9f54b9afb}</author>
    <author>tc={41a215e7-9f7a-44a0-b202-cba0dacfd186}</author>
    <author>tc={4b1565be-669c-44f1-a3d0-d109a3056be0}</author>
    <author>tc={4eabb3e5-f746-43b9-bb9e-d07150c11e93}</author>
    <author>tc={53e21e02-234b-4eb1-a4d5-46416724e53d}</author>
    <author>tc={6c18477e-a836-4e43-9f40-283bc5230c36}</author>
    <author>tc={744ecbeb-1217-4e7c-82a1-cc5a0cd852df}</author>
    <author>tc={80e76467-443e-4569-bd0c-e0762434fbd3}</author>
    <author>tc={9abcdd6b-8d1d-4e65-9656-6a2dc61799b3}</author>
    <author>tc={9e9313c8-0943-47f3-ac18-acfa9652b9a4}</author>
    <author>tc={a04f6cf6-1013-4cf1-843f-f0f5ae6a18df}</author>
    <author>tc={a4aba88f-1f8d-42b2-a766-8f5878bdc7af}</author>
    <author>tc={ac7cceb8-d277-4dbb-a2ac-c94410850a4e}</author>
    <author>tc={bb1840b1-4def-4d04-bbca-0805b80e4186}</author>
    <author>tc={d6d14e5b-c86b-4070-8078-e1cb631ffebc}</author>
    <author>tc={e8273f34-ae8a-4d99-a01d-149e555356ee}</author>
    <author>tc={e9062856-2306-4295-b1e1-29f3c069d5bf}</author>
    <author>tc={f7db8c90-4bb6-4d5c-abe1-2c2563907e45}</author>
    <author>tc={f89cacc7-ea82-445d-8b58-977513f02b6c}</author>
  </authors>
  <commentList>
    <comment authorId="0" ref="G15">
      <text>
        <t xml:space="preserve">Called to visitation at 2:05
</t>
      </text>
    </comment>
    <comment authorId="1" xr:uid="{04d2028d-3341-4c94-b1a2-1ed364c24bb2}" ref="R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MEDICAL SINCE 8:00
</t>
      </text>
    </comment>
    <comment authorId="2" xr:uid="{12fcf955-93b6-4a66-8165-2f6459aca100}" ref="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called out
</t>
      </text>
    </comment>
    <comment authorId="3" xr:uid="{1d429a0e-3e97-4f26-865d-cf99373afd2f}" ref="W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ARRIVED AT 10:00
</t>
      </text>
    </comment>
    <comment authorId="4" xr:uid="{22e0213e-eafb-4b14-9008-a8b94c009875}" ref="T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MEDICAL RUN, SHE IS NOT ON THE PREMISIS
Reply:
	arrived at 1:45pm from medical
</t>
      </text>
    </comment>
    <comment authorId="5" xr:uid="{29469298-07a6-4135-a52b-8df08f1c07cd}" ref="L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called out 9:00
</t>
      </text>
    </comment>
    <comment authorId="6" xr:uid="{2d7ce812-ee5c-466e-a4fc-931a9c9d9f2f}" ref="L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called out
</t>
      </text>
    </comment>
    <comment authorId="7" xr:uid="{31b32f0d-363f-4dd4-bcd9-b4c9f54b9afb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OTR 11:00
</t>
      </text>
    </comment>
    <comment authorId="8" xr:uid="{41a215e7-9f7a-44a0-b202-cba0dacfd186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went to medical 11:00
</t>
      </text>
    </comment>
    <comment authorId="9" xr:uid="{4b1565be-669c-44f1-a3d0-d109a3056be0}" ref="R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A.W. Carter at 12
</t>
      </text>
    </comment>
    <comment authorId="10" xr:uid="{4eabb3e5-f746-43b9-bb9e-d07150c11e93}" ref="W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ARRIVED AT 10:00
</t>
      </text>
    </comment>
    <comment authorId="11" xr:uid="{53e21e02-234b-4eb1-a4d5-46416724e53d}" ref="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otr 11:00
</t>
      </text>
    </comment>
    <comment authorId="12" xr:uid="{6c18477e-a836-4e43-9f40-283bc5230c36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HAD TO GO TO MEDICAL AT 1:25
Reply:
	returned at 1:55
</t>
      </text>
    </comment>
    <comment authorId="13" xr:uid="{744ecbeb-1217-4e7c-82a1-cc5a0cd852df}" ref="L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called out
</t>
      </text>
    </comment>
    <comment authorId="14" xr:uid="{80e76467-443e-4569-bd0c-e0762434fbd3}" ref="L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called out 9:00
</t>
      </text>
    </comment>
    <comment authorId="15" xr:uid="{9abcdd6b-8d1d-4e65-9656-6a2dc61799b3}" ref="W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ARRIVED AT 10:00
</t>
      </text>
    </comment>
    <comment authorId="16" xr:uid="{9e9313c8-0943-47f3-ac18-acfa9652b9a4}" ref="W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not feel well, left after lunch
</t>
      </text>
    </comment>
    <comment authorId="17" xr:uid="{a04f6cf6-1013-4cf1-843f-f0f5ae6a18df}" ref="W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Argoe has a colonoscopy @11:00
</t>
      </text>
    </comment>
    <comment authorId="18" xr:uid="{a4aba88f-1f8d-42b2-a766-8f5878bdc7af}" ref="L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MEETING WITH CARTER 12
</t>
      </text>
    </comment>
    <comment authorId="19" xr:uid="{ac7cceb8-d277-4dbb-a2ac-c94410850a4e}" ref="V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EXCUSED FOR ILLNESS
</t>
      </text>
    </comment>
    <comment authorId="20" xr:uid="{bb1840b1-4def-4d04-bbca-0805b80e4186}" ref="W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EXCUSED FOR ILLNESS
</t>
      </text>
    </comment>
    <comment authorId="21" xr:uid="{d6d14e5b-c86b-4070-8078-e1cb631ffebc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OTR at 2pm visitation
</t>
      </text>
    </comment>
    <comment authorId="22" xr:uid="{e8273f34-ae8a-4d99-a01d-149e555356ee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called out
</t>
      </text>
    </comment>
    <comment authorId="23" xr:uid="{e9062856-2306-4295-b1e1-29f3c069d5bf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went to medical 1:00
</t>
      </text>
    </comment>
    <comment authorId="24" xr:uid="{f7db8c90-4bb6-4d5c-abe1-2c2563907e45}" ref="U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EXCUSED FOR ILLNESS
</t>
      </text>
    </comment>
    <comment authorId="25" xr:uid="{f89cacc7-ea82-445d-8b58-977513f02b6c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visitation at 10:30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tc={3bc13c0d-e07b-406e-ae7e-628393de6774}</author>
    <author>tc={494940d1-016a-455b-b9f7-87176c042178}</author>
  </authors>
  <commentList>
    <comment authorId="0" xr:uid="{3bc13c0d-e07b-406e-ae7e-628393de6774}" ref="W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PAROLE MEETING
</t>
      </text>
    </comment>
    <comment authorId="1" xr:uid="{494940d1-016a-455b-b9f7-87176c042178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not return after lunch. Return to class at 1:50pm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tc={0da3f403-660f-4209-9ec4-c911fc803351}</author>
    <author>tc={2d04ebcc-d073-4804-a828-773354f1b130}</author>
    <author>tc={a5078837-5623-410a-b754-c568df4325b7}</author>
    <author>tc={a8e3df7e-e97b-4bca-9958-77e60352c1fc}</author>
    <author>tc={ddbacdde-2b6a-4445-92fd-6d2c8bdeb0a5}</author>
    <author>tc={dfef7615-841c-4d25-8faf-93b7e4f455c9}</author>
  </authors>
  <commentList>
    <comment authorId="0" ref="S19">
      <text>
        <t xml:space="preserve">Court date</t>
      </text>
    </comment>
    <comment authorId="0" ref="P24">
      <text>
        <t xml:space="preserve">SICKNESS DUE TO MIGRAINE</t>
      </text>
    </comment>
    <comment authorId="0" ref="W30">
      <text>
        <t xml:space="preserve">Developer Stinnett was called to medical about 1030. She returned after lunch.</t>
      </text>
    </comment>
    <comment authorId="1" xr:uid="{0da3f403-660f-4209-9ec4-c911fc803351}" ref="Y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DENTAL AFTER LUNCH 12:00-
</t>
      </text>
    </comment>
    <comment authorId="2" xr:uid="{2d04ebcc-d073-4804-a828-773354f1b130}" ref="X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otr 9:00
</t>
      </text>
    </comment>
    <comment authorId="3" xr:uid="{a5078837-5623-410a-b754-c568df4325b7}" ref="Z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email sent to A.W. Carter of absence..no explaination
</t>
      </text>
    </comment>
    <comment authorId="4" xr:uid="{a8e3df7e-e97b-4bca-9958-77e60352c1fc}" ref="Y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COURT
</t>
      </text>
    </comment>
    <comment authorId="5" xr:uid="{ddbacdde-2b6a-4445-92fd-6d2c8bdeb0a5}" ref="X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otr 9:00
</t>
      </text>
    </comment>
    <comment authorId="6" xr:uid="{dfef7615-841c-4d25-8faf-93b7e4f455c9}" ref="X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otr 9:00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tc={4e4133eb-42d7-49a1-9ee1-8ba19d9c369c}</author>
    <author>tc={57201d0a-131f-4c9c-9f10-0101653051bc}</author>
    <author>tc={8c2934af-ad6b-4676-9d25-766f2bd82b53}</author>
    <author>tc={b5f5d281-bde4-46b2-8cb3-6ce732e2cd10}</author>
    <author>tc={be6affab-6099-4125-91a7-627235400e06}</author>
  </authors>
  <commentList>
    <comment authorId="0" xr:uid="{4e4133eb-42d7-49a1-9ee1-8ba19d9c369c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Called by A.W. Carter
</t>
      </text>
    </comment>
    <comment authorId="1" xr:uid="{57201d0a-131f-4c9c-9f10-0101653051bc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Dev. Cauble was called by A.W. Carter during lunch. as of 1:00pm, still up front
</t>
      </text>
    </comment>
    <comment authorId="2" xr:uid="{8c2934af-ad6b-4676-9d25-766f2bd82b53}" ref="F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Called by A.W. Carter
</t>
      </text>
    </comment>
    <comment authorId="3" xr:uid="{b5f5d281-bde4-46b2-8cb3-6ce732e2cd10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medical run...A.W. Carter
</t>
      </text>
    </comment>
    <comment authorId="4" xr:uid="{be6affab-6099-4125-91a7-627235400e06}" ref="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Dev. Lord fell in the cafeteria during lunch. She went to medical at 12:45pm and she they sent her back to the room. I have documented in the attendance
</t>
      </text>
    </comment>
  </commentList>
</comments>
</file>

<file path=xl/sharedStrings.xml><?xml version="1.0" encoding="utf-8"?>
<sst xmlns="http://schemas.openxmlformats.org/spreadsheetml/2006/main" count="3698" uniqueCount="166">
  <si>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</si>
  <si>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</si>
  <si>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</si>
  <si>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</si>
  <si>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</si>
  <si>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</si>
  <si>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</si>
  <si>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</si>
  <si>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</si>
  <si>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</si>
  <si>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</si>
  <si>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</si>
  <si>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</si>
  <si>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</si>
  <si>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</si>
  <si>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</si>
  <si>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</si>
  <si>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</si>
  <si>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</si>
  <si>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</si>
  <si>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</si>
  <si>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</si>
  <si>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</si>
  <si>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</si>
  <si>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</si>
  <si>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</si>
  <si>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</si>
  <si>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</si>
  <si>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</si>
  <si>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</si>
  <si>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</si>
  <si>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</si>
  <si>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</si>
  <si>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</si>
  <si>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</si>
  <si>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</si>
  <si>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</si>
  <si>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</si>
  <si>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</si>
  <si>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</si>
  <si>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</si>
  <si>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</si>
  <si>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</si>
  <si>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</si>
  <si>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</si>
  <si>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</si>
  <si>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</si>
  <si>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</si>
  <si>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</si>
  <si>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</si>
  <si>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</si>
  <si>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</si>
  <si>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</si>
  <si>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</si>
  <si>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</si>
  <si>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</si>
  <si>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</si>
  <si>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</si>
  <si>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</si>
  <si>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</si>
  <si>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</si>
  <si>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</si>
  <si>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</si>
  <si>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</si>
  <si>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</si>
  <si>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</si>
  <si>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</si>
  <si>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</si>
  <si>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</si>
  <si>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</si>
  <si>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</si>
  <si>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</si>
  <si>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</si>
  <si>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</si>
  <si>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</si>
  <si>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</si>
  <si>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</si>
  <si>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</si>
  <si>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</si>
  <si>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</si>
  <si>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</si>
  <si>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</si>
  <si>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</si>
  <si>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</si>
  <si>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</si>
  <si>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</si>
  <si>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</si>
  <si>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</si>
  <si>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</si>
  <si>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</si>
  <si>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</si>
  <si>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</si>
  <si>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</si>
  <si>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</si>
  <si>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</si>
  <si>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</si>
  <si>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>Nate Miller</t>
  </si>
  <si>
    <t>Monday - Thursday; Friday</t>
  </si>
  <si>
    <t>0900 - 1500; 0900-1400</t>
  </si>
  <si>
    <t>Cook</t>
  </si>
  <si>
    <t>Brittney</t>
  </si>
  <si>
    <t>Cowart</t>
  </si>
  <si>
    <t>Melanie</t>
  </si>
  <si>
    <t>Hart</t>
  </si>
  <si>
    <t>Tyquasha</t>
  </si>
  <si>
    <t xml:space="preserve">Mahaffey </t>
  </si>
  <si>
    <t>Alli</t>
  </si>
  <si>
    <t>Martin</t>
  </si>
  <si>
    <t>Savannah</t>
  </si>
  <si>
    <t>Parker</t>
  </si>
  <si>
    <t>Tanishia</t>
  </si>
  <si>
    <t xml:space="preserve">Patton </t>
  </si>
  <si>
    <t>Stacey</t>
  </si>
  <si>
    <t>Watkins</t>
  </si>
  <si>
    <t>Jamie</t>
  </si>
  <si>
    <t>Alexander</t>
  </si>
  <si>
    <t>Tonya</t>
  </si>
  <si>
    <t>COHORT 5</t>
  </si>
  <si>
    <t>Doris</t>
  </si>
  <si>
    <t>Argoe</t>
  </si>
  <si>
    <t>Tasha</t>
  </si>
  <si>
    <t>Berry</t>
  </si>
  <si>
    <t>Tabitha</t>
  </si>
  <si>
    <t>Bishop</t>
  </si>
  <si>
    <t>Elizabeth</t>
  </si>
  <si>
    <t>Blackwell</t>
  </si>
  <si>
    <t>Heather</t>
  </si>
  <si>
    <t>Bushek</t>
  </si>
  <si>
    <t>Porsha</t>
  </si>
  <si>
    <t>Dixon-Jones</t>
  </si>
  <si>
    <t>Kristan</t>
  </si>
  <si>
    <t>Donohue</t>
  </si>
  <si>
    <t>Gwenetta</t>
  </si>
  <si>
    <t>Duckett</t>
  </si>
  <si>
    <t>Vanessa</t>
  </si>
  <si>
    <t>Godfrey</t>
  </si>
  <si>
    <t xml:space="preserve">Jayme </t>
  </si>
  <si>
    <t>Gragg</t>
  </si>
  <si>
    <t>Tracey</t>
  </si>
  <si>
    <t>Rumsey</t>
  </si>
  <si>
    <t>Brittany</t>
  </si>
  <si>
    <t>Hamilton</t>
  </si>
  <si>
    <t>Rayshana</t>
  </si>
  <si>
    <t>Harvin</t>
  </si>
  <si>
    <t xml:space="preserve">Stephanie </t>
  </si>
  <si>
    <t>Howard</t>
  </si>
  <si>
    <t>Carolyn</t>
  </si>
  <si>
    <t>Lord</t>
  </si>
  <si>
    <t>Jennifer</t>
  </si>
  <si>
    <t>McNaughton</t>
  </si>
  <si>
    <t>Haley</t>
  </si>
  <si>
    <t>Mooneyhan</t>
  </si>
  <si>
    <t xml:space="preserve">Lindsey </t>
  </si>
  <si>
    <t>Mullins</t>
  </si>
  <si>
    <t>Perez</t>
  </si>
  <si>
    <t>Davia</t>
  </si>
  <si>
    <t>Smith</t>
  </si>
  <si>
    <t>Anna</t>
  </si>
  <si>
    <t>Stinnett</t>
  </si>
  <si>
    <t>Maegan</t>
  </si>
  <si>
    <t>Yonce</t>
  </si>
  <si>
    <t>p</t>
  </si>
  <si>
    <t>h</t>
  </si>
  <si>
    <t xml:space="preserve">COHORT 5 </t>
  </si>
  <si>
    <t>Marie</t>
  </si>
  <si>
    <t>Cauble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</si>
</sst>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&quot;/&quot;d"/>
    <numFmt numFmtId="166" formatCode="m/d"/>
  </numFmts>
  <fonts count="24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color rgb="FF000000"/>
      <name val="Lato"/>
    </font>
    <font>
      <b/>
      <sz val="10.0"/>
      <color rgb="FFFFFFFF"/>
      <name val="Lato"/>
    </font>
    <font>
      <sz val="10.0"/>
      <color rgb="FFFFFFFF"/>
      <name val="Lato"/>
    </font>
    <font>
      <sz val="10.0"/>
      <color theme="1"/>
      <name val="Lato"/>
    </font>
    <font>
      <color theme="1"/>
      <name val="Arial"/>
      <scheme val="minor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3" fillId="2" fontId="6" numFmtId="49" xfId="0" applyAlignment="1" applyBorder="1" applyFont="1" applyNumberForma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vertical="center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6" numFmtId="0" xfId="0" applyAlignment="1" applyFont="1">
      <alignment shrinkToFit="0" vertical="center" wrapText="1"/>
    </xf>
    <xf borderId="0" fillId="5" fontId="13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4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7" numFmtId="165" xfId="0" applyAlignment="1" applyFont="1" applyNumberFormat="1">
      <alignment horizontal="center" readingOrder="0" shrinkToFit="0" vertical="center" wrapText="1"/>
    </xf>
    <xf borderId="0" fillId="2" fontId="1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shrinkToFit="0" vertical="center" wrapText="1"/>
    </xf>
    <xf borderId="0" fillId="2" fontId="12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18" numFmtId="0" xfId="0" applyAlignment="1" applyBorder="1" applyFont="1">
      <alignment horizontal="left" shrinkToFit="0" vertical="center" wrapText="1"/>
    </xf>
    <xf borderId="6" fillId="5" fontId="19" numFmtId="0" xfId="0" applyAlignment="1" applyBorder="1" applyFont="1">
      <alignment horizontal="left" shrinkToFit="0" vertical="center" wrapText="1"/>
    </xf>
    <xf borderId="7" fillId="7" fontId="20" numFmtId="0" xfId="0" applyAlignment="1" applyBorder="1" applyFill="1" applyFont="1">
      <alignment horizontal="center" shrinkToFit="0" vertical="center" wrapText="1"/>
    </xf>
    <xf borderId="0" fillId="2" fontId="18" numFmtId="49" xfId="0" applyAlignment="1" applyFont="1" applyNumberFormat="1">
      <alignment horizontal="center" shrinkToFit="0" wrapText="1"/>
    </xf>
    <xf borderId="0" fillId="2" fontId="21" numFmtId="0" xfId="0" applyAlignment="1" applyFont="1">
      <alignment horizontal="center" shrinkToFit="0" wrapText="1"/>
    </xf>
    <xf borderId="0" fillId="2" fontId="18" numFmtId="0" xfId="0" applyAlignment="1" applyFont="1">
      <alignment horizontal="left" shrinkToFit="0" vertical="center" wrapText="1"/>
    </xf>
    <xf borderId="0" fillId="5" fontId="19" numFmtId="0" xfId="0" applyAlignment="1" applyFont="1">
      <alignment horizontal="left" shrinkToFit="0" vertical="center" wrapText="1"/>
    </xf>
    <xf borderId="0" fillId="8" fontId="20" numFmtId="0" xfId="0" applyAlignment="1" applyFill="1" applyFont="1">
      <alignment horizontal="center" shrinkToFit="0" vertical="center" wrapText="1"/>
    </xf>
    <xf borderId="0" fillId="5" fontId="22" numFmtId="0" xfId="0" applyAlignment="1" applyFont="1">
      <alignment horizontal="center" readingOrder="0" shrinkToFit="0" vertical="center" wrapText="1"/>
    </xf>
    <xf borderId="0" fillId="5" fontId="17" numFmtId="166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vertical="bottom"/>
    </xf>
    <xf borderId="0" fillId="0" fontId="23" numFmtId="0" xfId="0" applyAlignment="1" applyFont="1">
      <alignment horizontal="right" vertical="bottom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shrinkToFit="0" vertical="bottom" wrapText="1"/>
    </xf>
    <xf borderId="0" fillId="2" fontId="23" numFmtId="0" xfId="0" applyAlignment="1" applyFont="1">
      <alignment horizontal="right" vertical="bottom"/>
    </xf>
    <xf borderId="0" fillId="9" fontId="6" numFmtId="0" xfId="0" applyAlignment="1" applyFill="1" applyFont="1">
      <alignment readingOrder="0" shrinkToFit="0" vertical="center" wrapText="1"/>
    </xf>
    <xf borderId="0" fillId="9" fontId="12" numFmtId="0" xfId="0" applyAlignment="1" applyFont="1">
      <alignment readingOrder="0" shrinkToFit="0" vertical="center" wrapText="1"/>
    </xf>
    <xf borderId="0" fillId="9" fontId="12" numFmtId="0" xfId="0" applyAlignment="1" applyFont="1">
      <alignment horizontal="center" readingOrder="0" shrinkToFit="0" vertical="center" wrapText="1"/>
    </xf>
    <xf borderId="3" fillId="0" fontId="23" numFmtId="0" xfId="0" applyAlignment="1" applyBorder="1" applyFont="1">
      <alignment vertical="bottom"/>
    </xf>
    <xf borderId="3" fillId="0" fontId="23" numFmtId="0" xfId="0" applyAlignment="1" applyBorder="1" applyFont="1">
      <alignment horizontal="right" vertical="bottom"/>
    </xf>
    <xf borderId="3" fillId="0" fontId="23" numFmtId="0" xfId="0" applyAlignment="1" applyBorder="1" applyFont="1">
      <alignment vertical="bottom"/>
    </xf>
    <xf borderId="3" fillId="0" fontId="23" numFmtId="0" xfId="0" applyAlignment="1" applyBorder="1" applyFont="1">
      <alignment horizontal="right" vertical="bottom"/>
    </xf>
    <xf borderId="0" fillId="6" fontId="6" numFmtId="0" xfId="0" applyAlignment="1" applyFont="1">
      <alignment readingOrder="0" shrinkToFit="0" vertical="center" wrapText="1"/>
    </xf>
    <xf borderId="0" fillId="10" fontId="12" numFmtId="0" xfId="0" applyAlignment="1" applyFill="1" applyFont="1">
      <alignment readingOrder="0" shrinkToFit="0" vertical="center" wrapText="1"/>
    </xf>
    <xf borderId="0" fillId="10" fontId="12" numFmtId="0" xfId="0" applyAlignment="1" applyFont="1">
      <alignment horizontal="center" readingOrder="0" shrinkToFit="0" vertical="center" wrapText="1"/>
    </xf>
    <xf borderId="0" fillId="3" fontId="23" numFmtId="0" xfId="0" applyFont="1"/>
    <xf borderId="3" fillId="0" fontId="23" numFmtId="0" xfId="0" applyAlignment="1" applyBorder="1" applyFont="1">
      <alignment readingOrder="0" vertical="bottom"/>
    </xf>
    <xf borderId="3" fillId="0" fontId="23" numFmtId="0" xfId="0" applyAlignment="1" applyBorder="1" applyFont="1">
      <alignment horizontal="right" readingOrder="0" vertical="bottom"/>
    </xf>
    <xf borderId="7" fillId="7" fontId="20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/>
    </xf>
    <xf borderId="0" fillId="10" fontId="23" numFmtId="0" xfId="0" applyAlignment="1" applyFont="1">
      <alignment vertical="bottom"/>
    </xf>
    <xf borderId="0" fillId="10" fontId="23" numFmtId="0" xfId="0" applyAlignment="1" applyFont="1">
      <alignment horizontal="right" vertical="bottom"/>
    </xf>
    <xf borderId="0" fillId="11" fontId="12" numFmtId="0" xfId="0" applyAlignment="1" applyFill="1" applyFont="1">
      <alignment horizontal="center" readingOrder="0" shrinkToFit="0" vertical="center" wrapText="1"/>
    </xf>
    <xf borderId="0" fillId="11" fontId="16" numFmtId="0" xfId="0" applyAlignment="1" applyFont="1">
      <alignment readingOrder="0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eonard Martin" id="{7510a229-8fd6-4c4c-bdca-4928d9fa3db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17" dT="2026-02-26T16:42:29.00" personId="{7510a229-8fd6-4c4c-bdca-4928d9fa3dba}" id="{1d429a0e-3e97-4f26-865d-cf99373afd2f}" done="0">
    <x18tc:text xml:space="preserve">ARRIVED AT 10:00</x18tc:text>
  </x18tc:threadedComment>
  <x18tc:threadedComment ref="U22" dT="2026-02-27T13:39:14.00" personId="{7510a229-8fd6-4c4c-bdca-4928d9fa3dba}" id="{f7db8c90-4bb6-4d5c-abe1-2c2563907e45}" done="0">
    <x18tc:text xml:space="preserve">EXCUSED FOR ILLNESS</x18tc:text>
  </x18tc:threadedComment>
  <x18tc:threadedComment ref="W9" dT="2026-02-26T16:46:37.00" personId="{7510a229-8fd6-4c4c-bdca-4928d9fa3dba}" id="{a04f6cf6-1013-4cf1-843f-f0f5ae6a18df}" done="0">
    <x18tc:text xml:space="preserve">Argoe has a colonoscopy @11:00</x18tc:text>
  </x18tc:threadedComment>
  <x18tc:threadedComment ref="W14" dT="2026-02-26T17:43:39.00" personId="{7510a229-8fd6-4c4c-bdca-4928d9fa3dba}" id="{9e9313c8-0943-47f3-ac18-acfa9652b9a4}" done="0">
    <x18tc:text xml:space="preserve">did not feel well, left after lunch</x18tc:text>
  </x18tc:threadedComment>
  <x18tc:threadedComment ref="W13" dT="2026-02-26T16:41:20.00" personId="{7510a229-8fd6-4c4c-bdca-4928d9fa3dba}" id="{9abcdd6b-8d1d-4e65-9656-6a2dc61799b3}" done="0">
    <x18tc:text xml:space="preserve">ARRIVED AT 10:00</x18tc:text>
  </x18tc:threadedComment>
  <x18tc:threadedComment ref="Q9" dT="2026-02-18T18:24:19.00" personId="{7510a229-8fd6-4c4c-bdca-4928d9fa3dba}" id="{6c18477e-a836-4e43-9f40-283bc5230c36}" done="0">
    <x18tc:text xml:space="preserve">HAD TO GO TO MEDICAL AT 1:25</x18tc:text>
  </x18tc:threadedComment>
  <x18tc:threadedComment ref="Q9" dT="2026-02-18T19:35:55.00" personId="{7510a229-8fd6-4c4c-bdca-4928d9fa3dba}" id="{b50ca76e-dbe8-4b79-9526-778afd8e5b4a}" parentId="{6c18477e-a836-4e43-9f40-283bc5230c36}">
    <x18tc:text xml:space="preserve">returned at 1:55</x18tc:text>
  </x18tc:threadedComment>
  <x18tc:threadedComment ref="T9" dT="2026-02-23T17:10:00.00" personId="{7510a229-8fd6-4c4c-bdca-4928d9fa3dba}" id="{22e0213e-eafb-4b14-9008-a8b94c009875}" done="0">
    <x18tc:text xml:space="preserve">MEDICAL RUN, SHE IS NOT ON THE PREMISIS</x18tc:text>
  </x18tc:threadedComment>
  <x18tc:threadedComment ref="T9" dT="2026-02-23T18:50:23.00" personId="{7510a229-8fd6-4c4c-bdca-4928d9fa3dba}" id="{85eb266d-c813-4825-9fe2-3c0f8f169d9c}" parentId="{22e0213e-eafb-4b14-9008-a8b94c009875}">
    <x18tc:text xml:space="preserve">arrived at 1:45pm from medical</x18tc:text>
  </x18tc:threadedComment>
  <x18tc:threadedComment ref="L10" dT="2026-02-11T14:18:33.00" personId="{7510a229-8fd6-4c4c-bdca-4928d9fa3dba}" id="{d6d14e5b-c86b-4070-8078-e1cb631ffebc}" done="0">
    <x18tc:text xml:space="preserve">OTR at 2pm visitation</x18tc:text>
  </x18tc:threadedComment>
  <x18tc:threadedComment ref="J11" dT="2026-02-09T15:28:30.00" personId="{7510a229-8fd6-4c4c-bdca-4928d9fa3dba}" id="{f89cacc7-ea82-445d-8b58-977513f02b6c}" done="0">
    <x18tc:text xml:space="preserve">visitation at 10:30</x18tc:text>
  </x18tc:threadedComment>
  <x18tc:threadedComment ref="R13" dT="2026-02-19T17:48:23.00" personId="{7510a229-8fd6-4c4c-bdca-4928d9fa3dba}" id="{e9062856-2306-4295-b1e1-29f3c069d5bf}" done="0">
    <x18tc:text xml:space="preserve">went to medical 1:00</x18tc:text>
  </x18tc:threadedComment>
  <x18tc:threadedComment ref="W23" dT="2026-02-26T16:41:56.00" personId="{7510a229-8fd6-4c4c-bdca-4928d9fa3dba}" id="{4eabb3e5-f746-43b9-bb9e-d07150c11e93}" done="0">
    <x18tc:text xml:space="preserve">ARRIVED AT 10:00</x18tc:text>
  </x18tc:threadedComment>
  <x18tc:threadedComment ref="R12" dT="2026-02-19T14:13:08.00" personId="{7510a229-8fd6-4c4c-bdca-4928d9fa3dba}" id="{31b32f0d-363f-4dd4-bcd9-b4c9f54b9afb}" done="0">
    <x18tc:text xml:space="preserve">OTR 11:00</x18tc:text>
  </x18tc:threadedComment>
  <x18tc:threadedComment ref="L29" dT="2026-02-11T13:53:56.00" personId="{7510a229-8fd6-4c4c-bdca-4928d9fa3dba}" id="{80e76467-443e-4569-bd0c-e0762434fbd3}" done="0">
    <x18tc:text xml:space="preserve">called out 9:00</x18tc:text>
  </x18tc:threadedComment>
  <x18tc:threadedComment ref="L28" dT="2026-02-11T13:54:08.00" personId="{7510a229-8fd6-4c4c-bdca-4928d9fa3dba}" id="{744ecbeb-1217-4e7c-82a1-cc5a0cd852df}" done="0">
    <x18tc:text xml:space="preserve">called out</x18tc:text>
  </x18tc:threadedComment>
  <x18tc:threadedComment ref="L23" dT="2026-02-11T13:54:35.00" personId="{7510a229-8fd6-4c4c-bdca-4928d9fa3dba}" id="{12fcf955-93b6-4a66-8165-2f6459aca100}" done="0">
    <x18tc:text xml:space="preserve">called out</x18tc:text>
  </x18tc:threadedComment>
  <x18tc:threadedComment ref="L24" dT="2026-02-11T13:54:22.00" personId="{7510a229-8fd6-4c4c-bdca-4928d9fa3dba}" id="{29469298-07a6-4135-a52b-8df08f1c07cd}" done="0">
    <x18tc:text xml:space="preserve">called out 9:00</x18tc:text>
  </x18tc:threadedComment>
  <x18tc:threadedComment ref="L15" dT="2026-02-11T13:54:49.00" personId="{7510a229-8fd6-4c4c-bdca-4928d9fa3dba}" id="{2d7ce812-ee5c-466e-a4fc-931a9c9d9f2f}" done="0">
    <x18tc:text xml:space="preserve">called out</x18tc:text>
  </x18tc:threadedComment>
  <x18tc:threadedComment ref="R28" dT="2026-02-19T16:46:38.00" personId="{7510a229-8fd6-4c4c-bdca-4928d9fa3dba}" id="{4b1565be-669c-44f1-a3d0-d109a3056be0}" done="0">
    <x18tc:text xml:space="preserve">A.W. Carter at 12</x18tc:text>
  </x18tc:threadedComment>
  <x18tc:threadedComment ref="L17" dT="2026-02-11T13:55:08.00" personId="{7510a229-8fd6-4c4c-bdca-4928d9fa3dba}" id="{e8273f34-ae8a-4d99-a01d-149e555356ee}" done="0">
    <x18tc:text xml:space="preserve">called out</x18tc:text>
  </x18tc:threadedComment>
  <x18tc:threadedComment ref="L19" dT="2026-02-11T17:04:00.00" personId="{7510a229-8fd6-4c4c-bdca-4928d9fa3dba}" id="{a4aba88f-1f8d-42b2-a766-8f5878bdc7af}" done="0">
    <x18tc:text xml:space="preserve">MEETING WITH CARTER 12</x18tc:text>
  </x18tc:threadedComment>
  <x18tc:threadedComment ref="R11" dT="2026-02-19T16:00:04.00" personId="{7510a229-8fd6-4c4c-bdca-4928d9fa3dba}" id="{41a215e7-9f7a-44a0-b202-cba0dacfd186}" done="0">
    <x18tc:text xml:space="preserve">went to medical 11:00</x18tc:text>
  </x18tc:threadedComment>
  <x18tc:threadedComment ref="R18" dT="2026-02-19T14:12:54.00" personId="{7510a229-8fd6-4c4c-bdca-4928d9fa3dba}" id="{53e21e02-234b-4eb1-a4d5-46416724e53d}" done="0">
    <x18tc:text xml:space="preserve">otr 11:00</x18tc:text>
  </x18tc:threadedComment>
  <x18tc:threadedComment ref="R16" dT="2026-02-19T14:12:23.00" personId="{7510a229-8fd6-4c4c-bdca-4928d9fa3dba}" id="{04d2028d-3341-4c94-b1a2-1ed364c24bb2}" done="0">
    <x18tc:text xml:space="preserve">MEDICAL SINCE 8:00</x18tc:text>
  </x18tc:threadedComment>
  <x18tc:threadedComment ref="W22" dT="2026-02-27T13:39:37.00" personId="{7510a229-8fd6-4c4c-bdca-4928d9fa3dba}" id="{bb1840b1-4def-4d04-bbca-0805b80e4186}" done="0">
    <x18tc:text xml:space="preserve">EXCUSED FOR ILLNESS</x18tc:text>
  </x18tc:threadedComment>
  <x18tc:threadedComment ref="V22" dT="2026-02-27T13:39:26.00" personId="{7510a229-8fd6-4c4c-bdca-4928d9fa3dba}" id="{ac7cceb8-d277-4dbb-a2ac-c94410850a4e}" done="0">
    <x18tc:text xml:space="preserve">EXCUSED FOR ILLNESS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3" dT="2026-03-03T18:46:42.00" personId="{7510a229-8fd6-4c4c-bdca-4928d9fa3dba}" id="{494940d1-016a-455b-b9f7-87176c042178}" done="0">
    <x18tc:text xml:space="preserve">Did not return after lunch. Return to class at 1:50pm</x18tc:text>
  </x18tc:threadedComment>
  <x18tc:threadedComment ref="W15" dT="2026-03-26T13:34:01.00" personId="{7510a229-8fd6-4c4c-bdca-4928d9fa3dba}" id="{3bc13c0d-e07b-406e-ae7e-628393de6774}" done="0">
    <x18tc:text xml:space="preserve">PAROLE MEETING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30" dT="2026-04-28T12:54:58.00" personId="{7510a229-8fd6-4c4c-bdca-4928d9fa3dba}" id="{ddbacdde-2b6a-4445-92fd-6d2c8bdeb0a5}" done="0">
    <x18tc:text xml:space="preserve">otr 9:00</x18tc:text>
  </x18tc:threadedComment>
  <x18tc:threadedComment ref="X33" dT="2026-04-28T12:55:35.00" personId="{7510a229-8fd6-4c4c-bdca-4928d9fa3dba}" id="{2d04ebcc-d073-4804-a828-773354f1b130}" done="0">
    <x18tc:text xml:space="preserve">otr 9:00</x18tc:text>
  </x18tc:threadedComment>
  <x18tc:threadedComment ref="X23" dT="2026-04-28T12:55:17.00" personId="{7510a229-8fd6-4c4c-bdca-4928d9fa3dba}" id="{dfef7615-841c-4d25-8faf-93b7e4f455c9}" done="0">
    <x18tc:text xml:space="preserve">otr 9:00</x18tc:text>
  </x18tc:threadedComment>
  <x18tc:threadedComment ref="Z11" dT="2026-04-30T13:20:46.00" personId="{7510a229-8fd6-4c4c-bdca-4928d9fa3dba}" id="{a5078837-5623-410a-b754-c568df4325b7}" done="0">
    <x18tc:text xml:space="preserve">email sent to A.W. Carter of absence..no explaination</x18tc:text>
    <x18tc:extLst>
      <ext uri="{F7C98A9C-CBB3-438F-8F68-D28B6AF4A901}">
        <xltc2:checksum/>
        <xltc2:hyperlink startIndex="29" length="11" url="http://absence..no"/>
      </ext>
    </x18tc:extLst>
  </x18tc:threadedComment>
  <x18tc:threadedComment ref="Y17" dT="2026-04-29T16:01:27.00" personId="{7510a229-8fd6-4c4c-bdca-4928d9fa3dba}" id="{0da3f403-660f-4209-9ec4-c911fc803351}" done="0">
    <x18tc:text xml:space="preserve">DENTAL AFTER LUNCH 12:00-</x18tc:text>
  </x18tc:threadedComment>
  <x18tc:threadedComment ref="Y21" dT="2026-04-29T16:01:05.00" personId="{7510a229-8fd6-4c4c-bdca-4928d9fa3dba}" id="{a8e3df7e-e97b-4bca-9958-77e60352c1fc}" done="0">
    <x18tc:text xml:space="preserve">COURT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3" dT="2026-05-07T16:47:59.00" personId="{7510a229-8fd6-4c4c-bdca-4928d9fa3dba}" id="{be6affab-6099-4125-91a7-627235400e06}" done="0">
    <x18tc:text xml:space="preserve">Dev. Lord fell in the cafeteria during lunch. She went to medical at 12:45pm and she they sent her back to the room. I have documented in the attendance</x18tc:text>
  </x18tc:threadedComment>
  <x18tc:threadedComment ref="I13" dT="2026-05-07T17:01:24.00" personId="{7510a229-8fd6-4c4c-bdca-4928d9fa3dba}" id="{57201d0a-131f-4c9c-9f10-0101653051bc}" done="0">
    <x18tc:text xml:space="preserve">Dev. Cauble was called by A.W. Carter during lunch. as of 1:00pm, still up front</x18tc:text>
  </x18tc:threadedComment>
  <x18tc:threadedComment ref="G23" dT="2026-05-05T16:52:01.00" personId="{7510a229-8fd6-4c4c-bdca-4928d9fa3dba}" id="{b5f5d281-bde4-46b2-8cb3-6ce732e2cd10}" done="0">
    <x18tc:text xml:space="preserve">medical run...A.W. Carter</x18tc:text>
  </x18tc:threadedComment>
  <x18tc:threadedComment ref="F16" dT="2026-05-04T14:41:49.00" personId="{7510a229-8fd6-4c4c-bdca-4928d9fa3dba}" id="{4e4133eb-42d7-49a1-9ee1-8ba19d9c369c}" done="0">
    <x18tc:text xml:space="preserve">Called by A.W. Carter</x18tc:text>
  </x18tc:threadedComment>
  <x18tc:threadedComment ref="F28" dT="2026-05-04T14:42:00.00" personId="{7510a229-8fd6-4c4c-bdca-4928d9fa3dba}" id="{8c2934af-ad6b-4676-9d25-766f2bd82b53}" done="0">
    <x18tc:text xml:space="preserve">Called by A.W. Carter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9"/>
      <c r="B17" s="18"/>
      <c r="C17" s="19"/>
    </row>
    <row r="18" ht="15.75" customHeight="1">
      <c r="A18" s="20"/>
      <c r="B18" s="18"/>
      <c r="C18" s="19"/>
    </row>
    <row r="19" ht="15.75" customHeight="1">
      <c r="A19" s="20"/>
      <c r="B19" s="18"/>
      <c r="C19" s="19"/>
    </row>
    <row r="20" ht="15.75" customHeight="1">
      <c r="A20" s="11"/>
      <c r="B20" s="21"/>
      <c r="C20" s="22"/>
    </row>
    <row r="21" ht="15.75" customHeight="1">
      <c r="A21" s="11"/>
      <c r="B21" s="21"/>
      <c r="C21" s="19"/>
    </row>
    <row r="22" ht="15.75" customHeight="1">
      <c r="A22" s="11"/>
      <c r="B22" s="21"/>
      <c r="C22" s="22"/>
    </row>
    <row r="23" ht="15.75" customHeight="1">
      <c r="A23" s="10"/>
      <c r="B23" s="23"/>
      <c r="C23" s="22"/>
    </row>
    <row r="24" ht="15.75" customHeight="1">
      <c r="A24" s="11"/>
      <c r="B24" s="21"/>
      <c r="C24" s="19"/>
    </row>
    <row r="25" ht="15.75" customHeight="1">
      <c r="A25" s="11"/>
      <c r="B25" s="18"/>
      <c r="C25" s="22"/>
    </row>
    <row r="26" ht="15.75" customHeight="1">
      <c r="A26" s="20"/>
      <c r="B26" s="21"/>
      <c r="C26" s="24"/>
    </row>
    <row r="27" ht="15.75" customHeight="1">
      <c r="A27" s="9"/>
      <c r="B27" s="18"/>
      <c r="C27" s="24"/>
    </row>
    <row r="28" ht="15.75" customHeight="1">
      <c r="A28" s="20"/>
      <c r="B28" s="18"/>
      <c r="C28" s="24"/>
    </row>
    <row r="29" ht="15.75" customHeight="1">
      <c r="A29" s="20"/>
      <c r="B29" s="18"/>
      <c r="C29" s="24"/>
    </row>
    <row r="30" ht="15.75" customHeight="1">
      <c r="A30" s="11"/>
      <c r="B30" s="21"/>
      <c r="C30" s="24"/>
    </row>
    <row r="31" ht="15.75" customHeight="1">
      <c r="A31" s="11"/>
      <c r="B31" s="21"/>
      <c r="C31" s="24"/>
    </row>
    <row r="32" ht="15.75" customHeight="1">
      <c r="A32" s="11"/>
      <c r="B32" s="21"/>
      <c r="C32" s="24"/>
    </row>
    <row r="33" ht="15.75" customHeight="1">
      <c r="A33" s="10"/>
      <c r="B33" s="23"/>
      <c r="C33" s="24"/>
    </row>
    <row r="34" ht="15.75" customHeight="1">
      <c r="A34" s="11"/>
      <c r="B34" s="21"/>
      <c r="C34" s="24"/>
    </row>
    <row r="35" ht="15.75" customHeight="1">
      <c r="A35" s="11"/>
      <c r="B35" s="18"/>
      <c r="C35" s="24"/>
    </row>
    <row r="36" ht="15.75" customHeight="1">
      <c r="A36" s="20"/>
      <c r="B36" s="21"/>
      <c r="C36" s="24"/>
    </row>
    <row r="37" ht="15.75" customHeight="1">
      <c r="A37" s="9"/>
      <c r="B37" s="18"/>
      <c r="C37" s="24"/>
    </row>
    <row r="38" ht="15.75" customHeight="1">
      <c r="A38" s="20"/>
      <c r="B38" s="18"/>
      <c r="C38" s="24"/>
    </row>
    <row r="39" ht="15.75" customHeight="1">
      <c r="A39" s="20"/>
      <c r="B39" s="18"/>
      <c r="C39" s="24"/>
    </row>
    <row r="40" ht="15.75" customHeight="1">
      <c r="A40" s="11"/>
      <c r="B40" s="21"/>
      <c r="C40" s="24"/>
    </row>
    <row r="41" ht="15.75" customHeight="1">
      <c r="A41" s="11"/>
      <c r="B41" s="21"/>
      <c r="C41" s="24"/>
    </row>
    <row r="42" ht="15.75" customHeight="1">
      <c r="A42" s="11"/>
      <c r="B42" s="21"/>
      <c r="C42" s="24"/>
    </row>
    <row r="43" ht="15.75" customHeight="1">
      <c r="A43" s="10"/>
      <c r="B43" s="23"/>
      <c r="C43" s="24"/>
    </row>
    <row r="44" ht="15.75" customHeight="1">
      <c r="A44" s="11"/>
      <c r="B44" s="21"/>
      <c r="C44" s="24"/>
    </row>
    <row r="45" ht="15.75" customHeight="1">
      <c r="A45" s="11"/>
      <c r="B45" s="18"/>
      <c r="C45" s="24"/>
    </row>
    <row r="46" ht="15.75" customHeight="1">
      <c r="A46" s="20"/>
      <c r="B46" s="21"/>
      <c r="C46" s="24"/>
    </row>
    <row r="47" ht="15.75" customHeight="1">
      <c r="A47" s="9"/>
      <c r="B47" s="18"/>
      <c r="C47" s="24"/>
    </row>
    <row r="48" ht="15.75" customHeight="1">
      <c r="A48" s="20"/>
      <c r="B48" s="18"/>
      <c r="C48" s="24"/>
    </row>
    <row r="49" ht="15.75" customHeight="1">
      <c r="A49" s="20"/>
      <c r="B49" s="18"/>
      <c r="C49" s="24"/>
    </row>
    <row r="50" ht="15.75" customHeight="1">
      <c r="A50" s="11"/>
      <c r="B50" s="21"/>
      <c r="C50" s="24"/>
    </row>
    <row r="51" ht="15.75" customHeight="1">
      <c r="A51" s="11"/>
      <c r="B51" s="21"/>
      <c r="C51" s="24"/>
    </row>
    <row r="52" ht="15.75" customHeight="1">
      <c r="A52" s="11"/>
      <c r="B52" s="21"/>
      <c r="C52" s="24"/>
    </row>
    <row r="53" ht="15.75" customHeight="1">
      <c r="A53" s="10"/>
      <c r="B53" s="23"/>
      <c r="C53" s="24"/>
    </row>
    <row r="54" ht="15.75" customHeight="1">
      <c r="A54" s="11"/>
      <c r="B54" s="21"/>
      <c r="C54" s="24"/>
    </row>
    <row r="55" ht="15.75" customHeight="1">
      <c r="A55" s="11"/>
      <c r="B55" s="18"/>
      <c r="C55" s="24"/>
    </row>
    <row r="56" ht="15.75" customHeight="1">
      <c r="A56" s="20"/>
      <c r="B56" s="21"/>
      <c r="C56" s="24"/>
    </row>
    <row r="57" ht="15.75" customHeight="1">
      <c r="A57" s="9"/>
      <c r="B57" s="18"/>
      <c r="C57" s="24"/>
    </row>
    <row r="58" ht="15.75" customHeight="1">
      <c r="A58" s="20"/>
      <c r="B58" s="18"/>
      <c r="C58" s="24"/>
    </row>
    <row r="59" ht="15.75" customHeight="1">
      <c r="A59" s="20"/>
      <c r="B59" s="18"/>
      <c r="C59" s="24"/>
    </row>
    <row r="60" ht="15.75" customHeight="1">
      <c r="A60" s="11"/>
      <c r="B60" s="21"/>
      <c r="C60" s="24"/>
    </row>
    <row r="61" ht="15.75" customHeight="1">
      <c r="A61" s="11"/>
      <c r="B61" s="21"/>
      <c r="C61" s="24"/>
    </row>
    <row r="62" ht="15.75" customHeight="1">
      <c r="A62" s="11"/>
      <c r="B62" s="21"/>
      <c r="C62" s="24"/>
    </row>
    <row r="63" ht="15.75" customHeight="1">
      <c r="A63" s="10"/>
      <c r="B63" s="23"/>
      <c r="C63" s="24"/>
    </row>
    <row r="64" ht="15.75" customHeight="1">
      <c r="A64" s="11"/>
      <c r="B64" s="21"/>
      <c r="C64" s="24"/>
    </row>
    <row r="65" ht="15.75" customHeight="1">
      <c r="A65" s="11"/>
      <c r="B65" s="18"/>
      <c r="C65" s="24"/>
    </row>
    <row r="66" ht="15.75" customHeight="1">
      <c r="A66" s="20"/>
      <c r="B66" s="21"/>
      <c r="C66" s="24"/>
    </row>
    <row r="67" ht="15.75" customHeight="1">
      <c r="A67" s="9"/>
      <c r="B67" s="18"/>
      <c r="C67" s="24"/>
    </row>
    <row r="68" ht="15.75" customHeight="1">
      <c r="A68" s="20"/>
      <c r="B68" s="18"/>
      <c r="C68" s="24"/>
    </row>
    <row r="69" ht="15.75" customHeight="1">
      <c r="A69" s="20"/>
      <c r="B69" s="18"/>
      <c r="C69" s="24"/>
    </row>
    <row r="70" ht="15.75" customHeight="1">
      <c r="A70" s="11"/>
      <c r="B70" s="21"/>
      <c r="C70" s="24"/>
    </row>
    <row r="71" ht="15.75" customHeight="1">
      <c r="A71" s="11"/>
      <c r="B71" s="21"/>
      <c r="C71" s="24"/>
    </row>
    <row r="72" ht="15.75" customHeight="1">
      <c r="A72" s="11"/>
      <c r="B72" s="21"/>
      <c r="C72" s="24"/>
    </row>
    <row r="73" ht="15.75" customHeight="1">
      <c r="A73" s="10"/>
      <c r="B73" s="23"/>
      <c r="C73" s="24"/>
    </row>
    <row r="74" ht="15.75" customHeight="1">
      <c r="A74" s="11"/>
      <c r="B74" s="21"/>
      <c r="C74" s="24"/>
    </row>
    <row r="75" ht="15.75" customHeight="1">
      <c r="A75" s="11"/>
      <c r="B75" s="18"/>
      <c r="C75" s="24"/>
    </row>
    <row r="76" ht="15.75" customHeight="1">
      <c r="A76" s="20"/>
      <c r="B76" s="21"/>
      <c r="C76" s="24"/>
    </row>
    <row r="77" ht="15.75" customHeight="1">
      <c r="A77" s="9"/>
      <c r="B77" s="18"/>
      <c r="C77" s="24"/>
    </row>
    <row r="78" ht="15.75" customHeight="1">
      <c r="A78" s="20"/>
      <c r="B78" s="18"/>
      <c r="C78" s="24"/>
    </row>
    <row r="79" ht="15.75" customHeight="1">
      <c r="A79" s="20"/>
      <c r="B79" s="18"/>
      <c r="C79" s="24"/>
    </row>
    <row r="80" ht="15.75" customHeight="1">
      <c r="A80" s="11"/>
      <c r="B80" s="21"/>
      <c r="C80" s="24"/>
    </row>
    <row r="81" ht="15.75" customHeight="1">
      <c r="A81" s="11"/>
      <c r="B81" s="21"/>
      <c r="C81" s="24"/>
    </row>
    <row r="82" ht="15.75" customHeight="1">
      <c r="A82" s="11"/>
      <c r="B82" s="21"/>
      <c r="C82" s="24"/>
    </row>
    <row r="83" ht="15.75" customHeight="1">
      <c r="A83" s="10"/>
      <c r="B83" s="23"/>
      <c r="C83" s="24"/>
    </row>
    <row r="84" ht="15.75" customHeight="1">
      <c r="A84" s="11"/>
      <c r="B84" s="21"/>
      <c r="C84" s="24"/>
    </row>
    <row r="85" ht="15.75" customHeight="1">
      <c r="A85" s="11"/>
      <c r="B85" s="18"/>
      <c r="C85" s="24"/>
    </row>
    <row r="86" ht="15.75" customHeight="1">
      <c r="A86" s="20"/>
      <c r="B86" s="21"/>
      <c r="C86" s="24"/>
    </row>
    <row r="87" ht="15.75" customHeight="1">
      <c r="A87" s="9"/>
      <c r="B87" s="18"/>
      <c r="C87" s="24"/>
    </row>
    <row r="88" ht="15.75" customHeight="1">
      <c r="A88" s="20"/>
      <c r="B88" s="18"/>
      <c r="C88" s="24"/>
    </row>
    <row r="89" ht="15.75" customHeight="1">
      <c r="A89" s="20"/>
      <c r="B89" s="18"/>
      <c r="C89" s="24"/>
    </row>
    <row r="90" ht="15.75" customHeight="1">
      <c r="A90" s="11"/>
      <c r="B90" s="21"/>
      <c r="C90" s="24"/>
    </row>
    <row r="91" ht="15.75" customHeight="1">
      <c r="A91" s="11"/>
      <c r="B91" s="21"/>
      <c r="C91" s="24"/>
    </row>
    <row r="92" ht="15.75" customHeight="1">
      <c r="A92" s="11"/>
      <c r="B92" s="21"/>
      <c r="C92" s="24"/>
    </row>
    <row r="93" ht="15.75" customHeight="1">
      <c r="A93" s="10"/>
      <c r="B93" s="23"/>
      <c r="C93" s="24"/>
    </row>
    <row r="94" ht="15.75" customHeight="1">
      <c r="A94" s="11"/>
      <c r="B94" s="21"/>
      <c r="C94" s="24"/>
    </row>
    <row r="95" ht="15.75" customHeight="1">
      <c r="A95" s="11"/>
      <c r="B95" s="18"/>
      <c r="C95" s="24"/>
    </row>
    <row r="96" ht="15.75" customHeight="1">
      <c r="A96" s="20"/>
      <c r="B96" s="21"/>
      <c r="C96" s="24"/>
    </row>
    <row r="97" ht="15.75" customHeight="1">
      <c r="A97" s="9"/>
      <c r="B97" s="18"/>
      <c r="C97" s="24"/>
    </row>
    <row r="98" ht="15.75" customHeight="1">
      <c r="A98" s="20"/>
      <c r="B98" s="18"/>
      <c r="C98" s="24"/>
    </row>
    <row r="99" ht="15.75" customHeight="1">
      <c r="A99" s="20"/>
      <c r="B99" s="18"/>
      <c r="C99" s="24"/>
    </row>
    <row r="100" ht="15.75" customHeight="1">
      <c r="A100" s="11"/>
      <c r="B100" s="21"/>
      <c r="C100" s="24"/>
    </row>
    <row r="101" ht="15.75" customHeight="1">
      <c r="A101" s="11"/>
      <c r="B101" s="21"/>
      <c r="C101" s="24"/>
    </row>
    <row r="102" ht="15.75" customHeight="1">
      <c r="A102" s="11"/>
      <c r="B102" s="21"/>
      <c r="C102" s="24"/>
    </row>
    <row r="103" ht="15.75" customHeight="1">
      <c r="A103" s="10"/>
      <c r="B103" s="23"/>
      <c r="C103" s="24"/>
    </row>
    <row r="104" ht="15.75" customHeight="1">
      <c r="A104" s="11"/>
      <c r="B104" s="21"/>
      <c r="C104" s="24"/>
    </row>
    <row r="105" ht="15.75" customHeight="1">
      <c r="A105" s="11"/>
      <c r="B105" s="18"/>
      <c r="C105" s="24"/>
    </row>
    <row r="106" ht="15.75" customHeight="1">
      <c r="A106" s="20"/>
      <c r="B106" s="21"/>
      <c r="C106" s="24"/>
    </row>
    <row r="107" ht="15.75" customHeight="1">
      <c r="A107" s="9"/>
      <c r="B107" s="18"/>
      <c r="C107" s="24"/>
    </row>
    <row r="108" ht="15.75" customHeight="1">
      <c r="A108" s="20"/>
      <c r="B108" s="18"/>
      <c r="C108" s="24"/>
    </row>
    <row r="109" ht="15.75" customHeight="1">
      <c r="A109" s="20"/>
      <c r="B109" s="18"/>
      <c r="C109" s="24"/>
    </row>
    <row r="110" ht="15.75" customHeight="1">
      <c r="A110" s="11"/>
      <c r="B110" s="21"/>
      <c r="C110" s="24"/>
    </row>
    <row r="111" ht="15.75" customHeight="1">
      <c r="A111" s="11"/>
      <c r="B111" s="21"/>
      <c r="C111" s="24"/>
    </row>
    <row r="112" ht="15.75" customHeight="1">
      <c r="A112" s="11"/>
      <c r="B112" s="21"/>
      <c r="C112" s="24"/>
    </row>
    <row r="113" ht="15.75" customHeight="1">
      <c r="A113" s="10"/>
      <c r="B113" s="23"/>
      <c r="C113" s="24"/>
    </row>
    <row r="114" ht="15.75" customHeight="1">
      <c r="A114" s="11"/>
      <c r="B114" s="21"/>
      <c r="C114" s="24"/>
    </row>
    <row r="115" ht="15.75" customHeight="1">
      <c r="A115" s="11"/>
      <c r="B115" s="18"/>
      <c r="C115" s="24"/>
    </row>
    <row r="116" ht="15.75" customHeight="1">
      <c r="A116" s="20"/>
      <c r="B116" s="21"/>
      <c r="C116" s="24"/>
    </row>
    <row r="117" ht="15.75" customHeight="1">
      <c r="A117" s="9"/>
      <c r="B117" s="18"/>
      <c r="C117" s="24"/>
    </row>
    <row r="118" ht="15.75" customHeight="1">
      <c r="A118" s="20"/>
      <c r="B118" s="18"/>
      <c r="C118" s="24"/>
    </row>
    <row r="119" ht="15.75" customHeight="1">
      <c r="A119" s="20"/>
      <c r="B119" s="18"/>
      <c r="C119" s="24"/>
    </row>
    <row r="120" ht="15.75" customHeight="1">
      <c r="A120" s="11"/>
      <c r="B120" s="21"/>
      <c r="C120" s="24"/>
    </row>
    <row r="121" ht="15.75" customHeight="1">
      <c r="A121" s="11"/>
      <c r="B121" s="21"/>
      <c r="C121" s="24"/>
    </row>
    <row r="122" ht="15.75" customHeight="1">
      <c r="A122" s="11"/>
      <c r="B122" s="21"/>
      <c r="C122" s="24"/>
    </row>
    <row r="123" ht="15.75" customHeight="1">
      <c r="A123" s="10"/>
      <c r="B123" s="23"/>
      <c r="C123" s="24"/>
    </row>
    <row r="124" ht="15.75" customHeight="1">
      <c r="A124" s="11"/>
      <c r="B124" s="21"/>
      <c r="C124" s="24"/>
    </row>
    <row r="125" ht="15.75" customHeight="1">
      <c r="A125" s="11"/>
      <c r="B125" s="18"/>
      <c r="C125" s="24"/>
    </row>
    <row r="126" ht="15.75" customHeight="1">
      <c r="A126" s="20"/>
      <c r="B126" s="21"/>
      <c r="C126" s="24"/>
    </row>
    <row r="127" ht="15.75" customHeight="1">
      <c r="A127" s="9"/>
      <c r="B127" s="18"/>
      <c r="C127" s="24"/>
    </row>
    <row r="128" ht="15.75" customHeight="1">
      <c r="A128" s="20"/>
      <c r="B128" s="18"/>
      <c r="C128" s="24"/>
    </row>
    <row r="129" ht="15.75" customHeight="1">
      <c r="A129" s="20"/>
      <c r="B129" s="18"/>
      <c r="C129" s="24"/>
    </row>
    <row r="130" ht="15.75" customHeight="1">
      <c r="A130" s="11"/>
      <c r="B130" s="21"/>
      <c r="C130" s="24"/>
    </row>
    <row r="131" ht="15.75" customHeight="1">
      <c r="A131" s="11"/>
      <c r="B131" s="21"/>
      <c r="C131" s="24"/>
    </row>
    <row r="132" ht="15.75" customHeight="1">
      <c r="A132" s="11"/>
      <c r="B132" s="21"/>
      <c r="C132" s="24"/>
    </row>
    <row r="133" ht="15.75" customHeight="1">
      <c r="A133" s="10"/>
      <c r="B133" s="23"/>
      <c r="C133" s="24"/>
    </row>
    <row r="134" ht="15.75" customHeight="1">
      <c r="A134" s="11"/>
      <c r="B134" s="21"/>
      <c r="C134" s="24"/>
    </row>
    <row r="135" ht="15.75" customHeight="1">
      <c r="A135" s="11"/>
      <c r="B135" s="18"/>
      <c r="C135" s="24"/>
    </row>
    <row r="136" ht="15.75" customHeight="1">
      <c r="A136" s="20"/>
      <c r="B136" s="21"/>
      <c r="C136" s="24"/>
    </row>
    <row r="137" ht="15.75" customHeight="1">
      <c r="A137" s="9"/>
      <c r="B137" s="18"/>
      <c r="C137" s="24"/>
    </row>
    <row r="138" ht="15.75" customHeight="1">
      <c r="A138" s="20"/>
      <c r="B138" s="18"/>
      <c r="C138" s="24"/>
    </row>
    <row r="139" ht="15.75" customHeight="1">
      <c r="A139" s="20"/>
      <c r="B139" s="18"/>
      <c r="C139" s="24"/>
    </row>
    <row r="140" ht="15.75" customHeight="1">
      <c r="A140" s="11"/>
      <c r="B140" s="21"/>
      <c r="C140" s="24"/>
    </row>
    <row r="141" ht="15.75" customHeight="1">
      <c r="A141" s="11"/>
      <c r="B141" s="21"/>
      <c r="C141" s="24"/>
    </row>
    <row r="142" ht="15.75" customHeight="1">
      <c r="A142" s="11"/>
      <c r="B142" s="21"/>
      <c r="C142" s="24"/>
    </row>
    <row r="143" ht="15.75" customHeight="1">
      <c r="A143" s="10"/>
      <c r="B143" s="23"/>
      <c r="C143" s="24"/>
    </row>
    <row r="144" ht="15.75" customHeight="1">
      <c r="A144" s="11"/>
      <c r="B144" s="21"/>
      <c r="C144" s="24"/>
    </row>
    <row r="145" ht="15.75" customHeight="1">
      <c r="A145" s="11"/>
      <c r="B145" s="18"/>
      <c r="C145" s="24"/>
    </row>
    <row r="146" ht="15.75" customHeight="1">
      <c r="A146" s="20"/>
      <c r="B146" s="21"/>
      <c r="C146" s="24"/>
    </row>
    <row r="147" ht="15.75" customHeight="1">
      <c r="A147" s="9"/>
      <c r="B147" s="18"/>
      <c r="C147" s="24"/>
    </row>
    <row r="148" ht="15.75" customHeight="1">
      <c r="A148" s="20"/>
      <c r="B148" s="18"/>
      <c r="C148" s="24"/>
    </row>
    <row r="149" ht="15.75" customHeight="1">
      <c r="A149" s="20"/>
      <c r="B149" s="18"/>
      <c r="C149" s="24"/>
    </row>
    <row r="150" ht="15.75" customHeight="1">
      <c r="A150" s="11"/>
      <c r="B150" s="21"/>
      <c r="C150" s="24"/>
    </row>
    <row r="151" ht="15.75" customHeight="1">
      <c r="A151" s="11"/>
      <c r="B151" s="21"/>
      <c r="C151" s="24"/>
    </row>
    <row r="152" ht="15.75" customHeight="1">
      <c r="A152" s="11"/>
      <c r="B152" s="21"/>
      <c r="C152" s="24"/>
    </row>
    <row r="153" ht="15.75" customHeight="1">
      <c r="A153" s="10"/>
      <c r="B153" s="23"/>
      <c r="C153" s="24"/>
    </row>
    <row r="154" ht="15.75" customHeight="1">
      <c r="A154" s="11"/>
      <c r="B154" s="21"/>
      <c r="C154" s="24"/>
    </row>
    <row r="155" ht="15.75" customHeight="1">
      <c r="A155" s="11"/>
      <c r="B155" s="18"/>
      <c r="C155" s="24"/>
    </row>
    <row r="156" ht="15.75" customHeight="1">
      <c r="A156" s="20"/>
      <c r="B156" s="21"/>
      <c r="C156" s="24"/>
    </row>
    <row r="157" ht="15.75" customHeight="1">
      <c r="A157" s="9"/>
      <c r="B157" s="18"/>
      <c r="C157" s="24"/>
    </row>
    <row r="158" ht="15.75" customHeight="1">
      <c r="A158" s="20"/>
      <c r="B158" s="18"/>
      <c r="C158" s="24"/>
    </row>
    <row r="159" ht="15.75" customHeight="1">
      <c r="A159" s="20"/>
      <c r="B159" s="18"/>
      <c r="C159" s="24"/>
    </row>
    <row r="160" ht="15.75" customHeight="1">
      <c r="A160" s="11"/>
      <c r="B160" s="21"/>
      <c r="C160" s="24"/>
    </row>
    <row r="161" ht="15.75" customHeight="1">
      <c r="A161" s="11"/>
      <c r="B161" s="21"/>
      <c r="C161" s="24"/>
    </row>
    <row r="162" ht="15.75" customHeight="1">
      <c r="A162" s="11"/>
      <c r="B162" s="21"/>
      <c r="C162" s="24"/>
    </row>
    <row r="163" ht="15.75" customHeight="1">
      <c r="A163" s="10"/>
      <c r="B163" s="23"/>
      <c r="C163" s="24"/>
    </row>
    <row r="164" ht="15.75" customHeight="1">
      <c r="A164" s="11"/>
      <c r="B164" s="21"/>
      <c r="C164" s="24"/>
    </row>
    <row r="165" ht="15.75" customHeight="1">
      <c r="A165" s="11"/>
      <c r="B165" s="18"/>
      <c r="C165" s="24"/>
    </row>
    <row r="166" ht="15.75" customHeight="1">
      <c r="A166" s="20"/>
      <c r="B166" s="21"/>
      <c r="C166" s="24"/>
    </row>
    <row r="167" ht="15.75" customHeight="1">
      <c r="A167" s="9"/>
      <c r="B167" s="18"/>
      <c r="C167" s="24"/>
    </row>
    <row r="168" ht="15.75" customHeight="1">
      <c r="A168" s="20"/>
      <c r="B168" s="18"/>
      <c r="C168" s="24"/>
    </row>
    <row r="169" ht="15.75" customHeight="1">
      <c r="A169" s="20"/>
      <c r="B169" s="18"/>
      <c r="C169" s="24"/>
    </row>
    <row r="170" ht="15.75" customHeight="1">
      <c r="A170" s="11"/>
      <c r="B170" s="21"/>
      <c r="C170" s="24"/>
    </row>
    <row r="171" ht="15.75" customHeight="1">
      <c r="A171" s="11"/>
      <c r="B171" s="21"/>
      <c r="C171" s="24"/>
    </row>
    <row r="172" ht="15.75" customHeight="1">
      <c r="A172" s="11"/>
      <c r="B172" s="21"/>
      <c r="C172" s="24"/>
    </row>
    <row r="173" ht="15.75" customHeight="1">
      <c r="A173" s="10"/>
      <c r="B173" s="23"/>
      <c r="C173" s="24"/>
    </row>
    <row r="174" ht="15.75" customHeight="1">
      <c r="A174" s="11"/>
      <c r="B174" s="21"/>
      <c r="C174" s="24"/>
    </row>
    <row r="175" ht="15.75" customHeight="1">
      <c r="A175" s="11"/>
      <c r="B175" s="18"/>
      <c r="C175" s="24"/>
    </row>
    <row r="176" ht="15.75" customHeight="1">
      <c r="A176" s="20"/>
      <c r="B176" s="21"/>
      <c r="C176" s="24"/>
    </row>
    <row r="177" ht="15.75" customHeight="1">
      <c r="A177" s="9"/>
      <c r="B177" s="18"/>
      <c r="C177" s="24"/>
    </row>
    <row r="178" ht="15.75" customHeight="1">
      <c r="A178" s="20"/>
      <c r="B178" s="18"/>
      <c r="C178" s="24"/>
    </row>
    <row r="179" ht="15.75" customHeight="1">
      <c r="A179" s="20"/>
      <c r="B179" s="18"/>
      <c r="C179" s="24"/>
    </row>
    <row r="180" ht="15.75" customHeight="1">
      <c r="A180" s="11"/>
      <c r="B180" s="21"/>
      <c r="C180" s="24"/>
    </row>
    <row r="181" ht="15.75" customHeight="1">
      <c r="A181" s="11"/>
      <c r="B181" s="21"/>
      <c r="C181" s="24"/>
    </row>
    <row r="182" ht="15.75" customHeight="1">
      <c r="A182" s="11"/>
      <c r="B182" s="21"/>
      <c r="C182" s="24"/>
    </row>
    <row r="183" ht="15.75" customHeight="1">
      <c r="A183" s="10"/>
      <c r="B183" s="23"/>
      <c r="C183" s="24"/>
    </row>
    <row r="184" ht="15.75" customHeight="1">
      <c r="A184" s="11"/>
      <c r="B184" s="21"/>
      <c r="C184" s="24"/>
    </row>
    <row r="185" ht="15.75" customHeight="1">
      <c r="A185" s="11"/>
      <c r="B185" s="18"/>
      <c r="C185" s="24"/>
    </row>
    <row r="186" ht="15.75" customHeight="1">
      <c r="A186" s="20"/>
      <c r="B186" s="21"/>
      <c r="C186" s="24"/>
    </row>
    <row r="187" ht="15.75" customHeight="1">
      <c r="A187" s="9"/>
      <c r="B187" s="18"/>
      <c r="C187" s="24"/>
    </row>
    <row r="188" ht="15.75" customHeight="1">
      <c r="A188" s="20"/>
      <c r="B188" s="18"/>
      <c r="C188" s="24"/>
    </row>
    <row r="189" ht="15.75" customHeight="1">
      <c r="A189" s="20"/>
      <c r="B189" s="18"/>
      <c r="C189" s="24"/>
    </row>
    <row r="190" ht="15.75" customHeight="1">
      <c r="A190" s="11"/>
      <c r="B190" s="21"/>
      <c r="C190" s="24"/>
    </row>
    <row r="191" ht="15.75" customHeight="1">
      <c r="A191" s="11"/>
      <c r="B191" s="21"/>
      <c r="C191" s="24"/>
    </row>
    <row r="192" ht="15.75" customHeight="1">
      <c r="A192" s="11"/>
      <c r="B192" s="21"/>
      <c r="C192" s="24"/>
    </row>
    <row r="193" ht="15.75" customHeight="1">
      <c r="A193" s="10"/>
      <c r="B193" s="23"/>
      <c r="C193" s="24"/>
    </row>
    <row r="194" ht="15.75" customHeight="1">
      <c r="A194" s="11"/>
      <c r="B194" s="21"/>
      <c r="C194" s="24"/>
    </row>
    <row r="195" ht="15.75" customHeight="1">
      <c r="A195" s="11"/>
      <c r="B195" s="18"/>
      <c r="C195" s="24"/>
    </row>
    <row r="196" ht="15.75" customHeight="1">
      <c r="A196" s="20"/>
      <c r="B196" s="21"/>
      <c r="C196" s="24"/>
    </row>
    <row r="197" ht="15.75" customHeight="1">
      <c r="A197" s="9"/>
      <c r="B197" s="18"/>
      <c r="C197" s="24"/>
    </row>
    <row r="198" ht="15.75" customHeight="1">
      <c r="A198" s="20"/>
      <c r="B198" s="18"/>
      <c r="C198" s="24"/>
    </row>
    <row r="199" ht="15.75" customHeight="1">
      <c r="A199" s="20"/>
      <c r="B199" s="18"/>
      <c r="C199" s="24"/>
    </row>
    <row r="200" ht="15.75" customHeight="1">
      <c r="A200" s="11"/>
      <c r="B200" s="21"/>
      <c r="C200" s="24"/>
    </row>
    <row r="201" ht="15.75" customHeight="1">
      <c r="A201" s="11"/>
      <c r="B201" s="21"/>
      <c r="C201" s="24"/>
    </row>
    <row r="202" ht="15.75" customHeight="1">
      <c r="A202" s="11"/>
      <c r="B202" s="21"/>
      <c r="C202" s="24"/>
    </row>
    <row r="203" ht="15.75" customHeight="1">
      <c r="A203" s="10"/>
      <c r="B203" s="23"/>
      <c r="C203" s="24"/>
    </row>
    <row r="204" ht="15.75" customHeight="1">
      <c r="A204" s="11"/>
      <c r="B204" s="21"/>
      <c r="C204" s="24"/>
    </row>
    <row r="205" ht="15.75" customHeight="1">
      <c r="A205" s="11"/>
      <c r="B205" s="18"/>
      <c r="C205" s="24"/>
    </row>
    <row r="206" ht="15.75" customHeight="1">
      <c r="A206" s="20"/>
      <c r="B206" s="21"/>
      <c r="C206" s="24"/>
    </row>
    <row r="207" ht="15.75" customHeight="1">
      <c r="A207" s="9"/>
      <c r="B207" s="18"/>
      <c r="C207" s="24"/>
    </row>
    <row r="208" ht="15.75" customHeight="1">
      <c r="A208" s="20"/>
      <c r="B208" s="18"/>
      <c r="C208" s="24"/>
    </row>
    <row r="209" ht="15.75" customHeight="1">
      <c r="A209" s="20"/>
      <c r="B209" s="18"/>
      <c r="C209" s="24"/>
    </row>
    <row r="210" ht="15.75" customHeight="1">
      <c r="A210" s="11"/>
      <c r="B210" s="21"/>
      <c r="C210" s="24"/>
    </row>
    <row r="211" ht="15.75" customHeight="1">
      <c r="A211" s="11"/>
      <c r="B211" s="21"/>
      <c r="C211" s="24"/>
    </row>
    <row r="212" ht="15.75" customHeight="1">
      <c r="A212" s="11"/>
      <c r="B212" s="21"/>
      <c r="C212" s="24"/>
    </row>
    <row r="213" ht="15.75" customHeight="1">
      <c r="A213" s="10"/>
      <c r="B213" s="23"/>
      <c r="C213" s="24"/>
    </row>
    <row r="214" ht="15.75" customHeight="1">
      <c r="A214" s="11"/>
      <c r="B214" s="21"/>
      <c r="C214" s="24"/>
    </row>
    <row r="215" ht="15.75" customHeight="1">
      <c r="A215" s="11"/>
      <c r="B215" s="18"/>
      <c r="C215" s="24"/>
    </row>
    <row r="216" ht="15.75" customHeight="1">
      <c r="A216" s="20"/>
      <c r="B216" s="21"/>
      <c r="C216" s="24"/>
    </row>
    <row r="217" ht="15.75" customHeight="1">
      <c r="A217" s="9"/>
      <c r="B217" s="18"/>
      <c r="C217" s="24"/>
    </row>
    <row r="218" ht="15.75" customHeight="1">
      <c r="A218" s="20"/>
      <c r="B218" s="18"/>
      <c r="C218" s="24"/>
    </row>
    <row r="219" ht="15.75" customHeight="1">
      <c r="A219" s="20"/>
      <c r="B219" s="18"/>
      <c r="C219" s="24"/>
    </row>
    <row r="220" ht="15.75" customHeight="1">
      <c r="A220" s="11"/>
      <c r="B220" s="21"/>
      <c r="C220" s="24"/>
    </row>
    <row r="221" ht="15.75" customHeight="1">
      <c r="A221" s="11"/>
      <c r="B221" s="21"/>
      <c r="C221" s="24"/>
    </row>
    <row r="222" ht="15.75" customHeight="1">
      <c r="A222" s="11"/>
      <c r="B222" s="21"/>
      <c r="C222" s="24"/>
    </row>
    <row r="223" ht="15.75" customHeight="1">
      <c r="A223" s="10"/>
      <c r="B223" s="23"/>
      <c r="C223" s="24"/>
    </row>
    <row r="224" ht="15.75" customHeight="1">
      <c r="A224" s="11"/>
      <c r="B224" s="21"/>
      <c r="C224" s="24"/>
    </row>
    <row r="225" ht="15.75" customHeight="1">
      <c r="A225" s="11"/>
      <c r="B225" s="18"/>
      <c r="C225" s="24"/>
    </row>
    <row r="226" ht="15.75" customHeight="1">
      <c r="A226" s="20"/>
      <c r="B226" s="21"/>
      <c r="C226" s="24"/>
    </row>
    <row r="227" ht="15.75" customHeight="1">
      <c r="A227" s="9"/>
      <c r="B227" s="18"/>
      <c r="C227" s="24"/>
    </row>
    <row r="228" ht="15.75" customHeight="1">
      <c r="A228" s="20"/>
      <c r="B228" s="18"/>
      <c r="C228" s="24"/>
    </row>
    <row r="229" ht="15.75" customHeight="1">
      <c r="A229" s="20"/>
      <c r="B229" s="18"/>
      <c r="C229" s="24"/>
    </row>
    <row r="230" ht="15.75" customHeight="1">
      <c r="A230" s="11"/>
      <c r="B230" s="21"/>
      <c r="C230" s="24"/>
    </row>
    <row r="231" ht="15.75" customHeight="1">
      <c r="A231" s="11"/>
      <c r="B231" s="21"/>
      <c r="C231" s="24"/>
    </row>
    <row r="232" ht="15.75" customHeight="1">
      <c r="A232" s="11"/>
      <c r="B232" s="21"/>
      <c r="C232" s="24"/>
    </row>
    <row r="233" ht="15.75" customHeight="1">
      <c r="A233" s="10"/>
      <c r="B233" s="23"/>
      <c r="C233" s="24"/>
    </row>
    <row r="234" ht="15.75" customHeight="1">
      <c r="A234" s="11"/>
      <c r="B234" s="21"/>
      <c r="C234" s="24"/>
    </row>
    <row r="235" ht="15.75" customHeight="1">
      <c r="A235" s="11"/>
      <c r="B235" s="18"/>
      <c r="C235" s="24"/>
    </row>
    <row r="236" ht="15.75" customHeight="1">
      <c r="A236" s="20"/>
      <c r="B236" s="21"/>
      <c r="C236" s="24"/>
    </row>
    <row r="237" ht="15.75" customHeight="1">
      <c r="A237" s="9"/>
      <c r="B237" s="18"/>
      <c r="C237" s="24"/>
    </row>
    <row r="238" ht="15.75" customHeight="1">
      <c r="A238" s="20"/>
      <c r="B238" s="18"/>
      <c r="C238" s="24"/>
    </row>
    <row r="239" ht="15.75" customHeight="1">
      <c r="A239" s="20"/>
      <c r="B239" s="18"/>
      <c r="C239" s="24"/>
    </row>
    <row r="240" ht="15.75" customHeight="1">
      <c r="A240" s="11"/>
      <c r="B240" s="21"/>
      <c r="C240" s="24"/>
    </row>
    <row r="241" ht="15.75" customHeight="1">
      <c r="A241" s="11"/>
      <c r="B241" s="21"/>
      <c r="C241" s="24"/>
    </row>
    <row r="242" ht="15.75" customHeight="1">
      <c r="A242" s="11"/>
      <c r="B242" s="21"/>
      <c r="C242" s="24"/>
    </row>
    <row r="243" ht="15.75" customHeight="1">
      <c r="A243" s="10"/>
      <c r="B243" s="23"/>
      <c r="C243" s="24"/>
    </row>
    <row r="244" ht="15.75" customHeight="1">
      <c r="A244" s="11"/>
      <c r="B244" s="21"/>
      <c r="C244" s="24"/>
    </row>
    <row r="245" ht="15.75" customHeight="1">
      <c r="A245" s="11"/>
      <c r="B245" s="18"/>
      <c r="C245" s="24"/>
    </row>
    <row r="246" ht="15.75" customHeight="1">
      <c r="A246" s="11"/>
      <c r="B246" s="18"/>
      <c r="C246" s="24"/>
    </row>
    <row r="247" ht="15.75" customHeight="1">
      <c r="A247" s="11"/>
      <c r="B247" s="18"/>
      <c r="C247" s="24"/>
    </row>
    <row r="248" ht="15.75" customHeight="1">
      <c r="A248" s="11"/>
      <c r="B248" s="18"/>
      <c r="C248" s="24"/>
    </row>
    <row r="249" ht="15.75" customHeight="1">
      <c r="A249" s="11"/>
      <c r="B249" s="18"/>
      <c r="C249" s="24"/>
    </row>
    <row r="250" ht="15.75" customHeight="1">
      <c r="A250" s="11"/>
      <c r="B250" s="18"/>
      <c r="C250" s="24"/>
    </row>
    <row r="251" ht="15.75" customHeight="1">
      <c r="A251" s="11"/>
      <c r="B251" s="18"/>
      <c r="C251" s="24"/>
    </row>
    <row r="252" ht="15.75" customHeight="1">
      <c r="A252" s="11"/>
      <c r="B252" s="18"/>
      <c r="C252" s="24"/>
    </row>
    <row r="253" ht="15.75" customHeight="1">
      <c r="A253" s="11"/>
      <c r="B253" s="18"/>
      <c r="C253" s="24"/>
    </row>
    <row r="254" ht="15.75" customHeight="1">
      <c r="A254" s="11"/>
      <c r="B254" s="18"/>
      <c r="C254" s="24"/>
    </row>
    <row r="255" ht="15.75" customHeight="1">
      <c r="A255" s="11"/>
      <c r="B255" s="18"/>
      <c r="C255" s="24"/>
    </row>
    <row r="256" ht="15.75" customHeight="1">
      <c r="A256" s="11"/>
      <c r="B256" s="18"/>
      <c r="C256" s="24"/>
    </row>
    <row r="257" ht="15.75" customHeight="1">
      <c r="A257" s="11"/>
      <c r="B257" s="18"/>
      <c r="C257" s="24"/>
    </row>
    <row r="258" ht="15.75" customHeight="1">
      <c r="A258" s="11"/>
      <c r="B258" s="18"/>
      <c r="C258" s="24"/>
    </row>
    <row r="259" ht="15.75" customHeight="1">
      <c r="A259" s="11"/>
      <c r="B259" s="18"/>
      <c r="C259" s="24"/>
    </row>
    <row r="260" ht="15.75" customHeight="1">
      <c r="A260" s="11"/>
      <c r="B260" s="18"/>
      <c r="C260" s="24"/>
    </row>
    <row r="261" ht="15.75" customHeight="1">
      <c r="A261" s="11"/>
      <c r="B261" s="18"/>
      <c r="C261" s="24"/>
    </row>
    <row r="262" ht="15.75" customHeight="1">
      <c r="A262" s="11"/>
      <c r="B262" s="18"/>
      <c r="C262" s="24"/>
    </row>
    <row r="263" ht="15.75" customHeight="1">
      <c r="A263" s="11"/>
      <c r="B263" s="18"/>
      <c r="C263" s="24"/>
    </row>
    <row r="264" ht="15.75" customHeight="1">
      <c r="A264" s="11"/>
      <c r="B264" s="18"/>
      <c r="C264" s="24"/>
    </row>
    <row r="265" ht="15.75" customHeight="1">
      <c r="A265" s="11"/>
      <c r="B265" s="18"/>
      <c r="C265" s="24"/>
    </row>
    <row r="266" ht="15.75" customHeight="1">
      <c r="A266" s="11"/>
      <c r="B266" s="18"/>
      <c r="C266" s="24"/>
    </row>
    <row r="267" ht="15.75" customHeight="1">
      <c r="A267" s="11"/>
      <c r="B267" s="18"/>
      <c r="C267" s="24"/>
    </row>
    <row r="268" ht="15.75" customHeight="1">
      <c r="A268" s="11"/>
      <c r="B268" s="18"/>
      <c r="C268" s="24"/>
    </row>
    <row r="269" ht="15.75" customHeight="1">
      <c r="A269" s="11"/>
      <c r="B269" s="18"/>
      <c r="C269" s="24"/>
    </row>
    <row r="270" ht="15.75" customHeight="1">
      <c r="A270" s="11"/>
      <c r="B270" s="18"/>
      <c r="C270" s="24"/>
    </row>
    <row r="271" ht="15.75" customHeight="1">
      <c r="A271" s="11"/>
      <c r="B271" s="18"/>
      <c r="C271" s="24"/>
    </row>
    <row r="272" ht="15.75" customHeight="1">
      <c r="A272" s="11"/>
      <c r="B272" s="18"/>
      <c r="C272" s="24"/>
    </row>
    <row r="273" ht="15.75" customHeight="1">
      <c r="A273" s="11"/>
      <c r="B273" s="18"/>
      <c r="C273" s="24"/>
    </row>
    <row r="274" ht="15.75" customHeight="1">
      <c r="A274" s="11"/>
      <c r="B274" s="18"/>
      <c r="C274" s="24"/>
    </row>
    <row r="275" ht="15.75" customHeight="1">
      <c r="A275" s="11"/>
      <c r="B275" s="18"/>
      <c r="C275" s="24"/>
    </row>
    <row r="276" ht="15.75" customHeight="1">
      <c r="A276" s="11"/>
      <c r="B276" s="18"/>
      <c r="C276" s="24"/>
    </row>
    <row r="277" ht="15.75" customHeight="1">
      <c r="A277" s="11"/>
      <c r="B277" s="18"/>
      <c r="C277" s="24"/>
    </row>
    <row r="278" ht="15.75" customHeight="1">
      <c r="A278" s="11"/>
      <c r="B278" s="18"/>
      <c r="C278" s="24"/>
    </row>
    <row r="279" ht="15.75" customHeight="1">
      <c r="A279" s="11"/>
      <c r="B279" s="18"/>
      <c r="C279" s="24"/>
    </row>
    <row r="280" ht="15.75" customHeight="1">
      <c r="A280" s="11"/>
      <c r="B280" s="18"/>
      <c r="C280" s="24"/>
    </row>
    <row r="281" ht="15.75" customHeight="1">
      <c r="A281" s="11"/>
      <c r="B281" s="18"/>
      <c r="C281" s="24"/>
    </row>
    <row r="282" ht="15.75" customHeight="1">
      <c r="A282" s="11"/>
      <c r="B282" s="18"/>
      <c r="C282" s="24"/>
    </row>
    <row r="283" ht="15.75" customHeight="1">
      <c r="A283" s="11"/>
      <c r="B283" s="18"/>
      <c r="C283" s="24"/>
    </row>
    <row r="284" ht="15.75" customHeight="1">
      <c r="A284" s="11"/>
      <c r="B284" s="18"/>
      <c r="C284" s="24"/>
    </row>
    <row r="285" ht="15.75" customHeight="1">
      <c r="A285" s="11"/>
      <c r="B285" s="18"/>
      <c r="C285" s="24"/>
    </row>
    <row r="286" ht="15.75" customHeight="1">
      <c r="A286" s="11"/>
      <c r="B286" s="18"/>
      <c r="C286" s="24"/>
    </row>
    <row r="287" ht="15.75" customHeight="1">
      <c r="A287" s="11"/>
      <c r="B287" s="18"/>
      <c r="C287" s="24"/>
    </row>
    <row r="288" ht="15.75" customHeight="1">
      <c r="A288" s="11"/>
      <c r="B288" s="18"/>
      <c r="C288" s="24"/>
    </row>
    <row r="289" ht="15.75" customHeight="1">
      <c r="A289" s="11"/>
      <c r="B289" s="18"/>
      <c r="C289" s="24"/>
    </row>
    <row r="290" ht="15.75" customHeight="1">
      <c r="A290" s="11"/>
      <c r="B290" s="18"/>
      <c r="C290" s="24"/>
    </row>
    <row r="291" ht="15.75" customHeight="1">
      <c r="A291" s="11"/>
      <c r="B291" s="18"/>
      <c r="C291" s="24"/>
    </row>
    <row r="292" ht="15.75" customHeight="1">
      <c r="A292" s="11"/>
      <c r="B292" s="18"/>
      <c r="C292" s="24"/>
    </row>
    <row r="293" ht="15.75" customHeight="1">
      <c r="A293" s="11"/>
      <c r="B293" s="18"/>
      <c r="C293" s="24"/>
    </row>
    <row r="294" ht="15.75" customHeight="1">
      <c r="A294" s="11"/>
      <c r="B294" s="18"/>
      <c r="C294" s="24"/>
    </row>
    <row r="295" ht="15.75" customHeight="1">
      <c r="A295" s="11"/>
      <c r="B295" s="18"/>
      <c r="C295" s="24"/>
    </row>
    <row r="296" ht="15.75" customHeight="1">
      <c r="A296" s="11"/>
      <c r="B296" s="18"/>
      <c r="C296" s="24"/>
    </row>
    <row r="297" ht="15.75" customHeight="1">
      <c r="A297" s="11"/>
      <c r="B297" s="18"/>
      <c r="C297" s="24"/>
    </row>
    <row r="298" ht="15.75" customHeight="1">
      <c r="A298" s="11"/>
      <c r="B298" s="18"/>
      <c r="C298" s="24"/>
    </row>
    <row r="299" ht="15.75" customHeight="1">
      <c r="A299" s="11"/>
      <c r="B299" s="18"/>
      <c r="C299" s="24"/>
    </row>
    <row r="300" ht="15.75" customHeight="1">
      <c r="A300" s="11"/>
      <c r="B300" s="18"/>
      <c r="C300" s="24"/>
    </row>
    <row r="301" ht="15.75" customHeight="1">
      <c r="A301" s="11"/>
      <c r="B301" s="18"/>
      <c r="C301" s="24"/>
    </row>
    <row r="302" ht="15.75" customHeight="1">
      <c r="A302" s="11"/>
      <c r="B302" s="18"/>
      <c r="C302" s="24"/>
    </row>
    <row r="303" ht="15.75" customHeight="1">
      <c r="A303" s="11"/>
      <c r="B303" s="18"/>
      <c r="C303" s="24"/>
    </row>
    <row r="304" ht="15.75" customHeight="1">
      <c r="A304" s="11"/>
      <c r="B304" s="18"/>
      <c r="C304" s="24"/>
    </row>
    <row r="305" ht="15.75" customHeight="1">
      <c r="A305" s="11"/>
      <c r="B305" s="18"/>
      <c r="C305" s="24"/>
    </row>
    <row r="306" ht="15.75" customHeight="1">
      <c r="A306" s="11"/>
      <c r="B306" s="18"/>
      <c r="C306" s="24"/>
    </row>
    <row r="307" ht="15.75" customHeight="1">
      <c r="A307" s="11"/>
      <c r="B307" s="18"/>
      <c r="C307" s="24"/>
    </row>
    <row r="308" ht="15.75" customHeight="1">
      <c r="A308" s="11"/>
      <c r="B308" s="18"/>
      <c r="C308" s="24"/>
    </row>
    <row r="309" ht="15.75" customHeight="1">
      <c r="A309" s="11"/>
      <c r="B309" s="18"/>
      <c r="C309" s="24"/>
    </row>
    <row r="310" ht="15.75" customHeight="1">
      <c r="A310" s="11"/>
      <c r="B310" s="18"/>
      <c r="C310" s="24"/>
    </row>
    <row r="311" ht="15.75" customHeight="1">
      <c r="A311" s="11"/>
      <c r="B311" s="18"/>
      <c r="C311" s="24"/>
    </row>
    <row r="312" ht="15.75" customHeight="1">
      <c r="A312" s="11"/>
      <c r="B312" s="18"/>
      <c r="C312" s="24"/>
    </row>
    <row r="313" ht="15.75" customHeight="1">
      <c r="A313" s="11"/>
      <c r="B313" s="18"/>
      <c r="C313" s="24"/>
    </row>
    <row r="314" ht="15.75" customHeight="1">
      <c r="A314" s="11"/>
      <c r="B314" s="18"/>
      <c r="C314" s="24"/>
    </row>
    <row r="315" ht="15.75" customHeight="1">
      <c r="A315" s="11"/>
      <c r="B315" s="18"/>
      <c r="C315" s="24"/>
    </row>
    <row r="316" ht="15.75" customHeight="1">
      <c r="A316" s="11"/>
      <c r="B316" s="18"/>
      <c r="C316" s="24"/>
    </row>
    <row r="317" ht="15.75" customHeight="1">
      <c r="A317" s="11"/>
      <c r="B317" s="18"/>
      <c r="C317" s="24"/>
    </row>
    <row r="318" ht="15.75" customHeight="1">
      <c r="A318" s="11"/>
      <c r="B318" s="18"/>
      <c r="C318" s="24"/>
    </row>
    <row r="319" ht="15.75" customHeight="1">
      <c r="A319" s="11"/>
      <c r="B319" s="18"/>
      <c r="C319" s="24"/>
    </row>
    <row r="320" ht="15.75" customHeight="1">
      <c r="A320" s="11"/>
      <c r="B320" s="18"/>
      <c r="C320" s="24"/>
    </row>
    <row r="321" ht="15.75" customHeight="1">
      <c r="A321" s="11"/>
      <c r="B321" s="18"/>
      <c r="C321" s="24"/>
    </row>
    <row r="322" ht="15.75" customHeight="1">
      <c r="A322" s="11"/>
      <c r="B322" s="18"/>
      <c r="C322" s="24"/>
    </row>
    <row r="323" ht="15.75" customHeight="1">
      <c r="A323" s="11"/>
      <c r="B323" s="18"/>
      <c r="C323" s="24"/>
    </row>
    <row r="324" ht="15.75" customHeight="1">
      <c r="A324" s="11"/>
      <c r="B324" s="18"/>
      <c r="C324" s="24"/>
    </row>
    <row r="325" ht="15.75" customHeight="1">
      <c r="A325" s="11"/>
      <c r="B325" s="18"/>
      <c r="C325" s="24"/>
    </row>
    <row r="326" ht="15.75" customHeight="1">
      <c r="A326" s="11"/>
      <c r="B326" s="18"/>
      <c r="C326" s="24"/>
    </row>
    <row r="327" ht="15.75" customHeight="1">
      <c r="A327" s="11"/>
      <c r="B327" s="18"/>
      <c r="C327" s="24"/>
    </row>
    <row r="328" ht="15.75" customHeight="1">
      <c r="A328" s="11"/>
      <c r="B328" s="18"/>
      <c r="C328" s="24"/>
    </row>
    <row r="329" ht="15.75" customHeight="1">
      <c r="A329" s="11"/>
      <c r="B329" s="18"/>
      <c r="C329" s="24"/>
    </row>
    <row r="330" ht="15.75" customHeight="1">
      <c r="A330" s="11"/>
      <c r="B330" s="18"/>
      <c r="C330" s="24"/>
    </row>
    <row r="331" ht="15.75" customHeight="1">
      <c r="A331" s="11"/>
      <c r="B331" s="18"/>
      <c r="C331" s="24"/>
    </row>
    <row r="332" ht="15.75" customHeight="1">
      <c r="A332" s="11"/>
      <c r="B332" s="18"/>
      <c r="C332" s="24"/>
    </row>
    <row r="333" ht="15.75" customHeight="1">
      <c r="A333" s="11"/>
      <c r="B333" s="18"/>
      <c r="C333" s="24"/>
    </row>
    <row r="334" ht="15.75" customHeight="1">
      <c r="A334" s="11"/>
      <c r="B334" s="18"/>
      <c r="C334" s="24"/>
    </row>
    <row r="335" ht="15.75" customHeight="1">
      <c r="A335" s="11"/>
      <c r="B335" s="18"/>
      <c r="C335" s="24"/>
    </row>
    <row r="336" ht="15.75" customHeight="1">
      <c r="A336" s="11"/>
      <c r="B336" s="18"/>
      <c r="C336" s="24"/>
    </row>
    <row r="337" ht="15.75" customHeight="1">
      <c r="A337" s="11"/>
      <c r="B337" s="18"/>
      <c r="C337" s="24"/>
    </row>
    <row r="338" ht="15.75" customHeight="1">
      <c r="A338" s="11"/>
      <c r="B338" s="18"/>
      <c r="C338" s="24"/>
    </row>
    <row r="339" ht="15.75" customHeight="1">
      <c r="A339" s="11"/>
      <c r="B339" s="18"/>
      <c r="C339" s="24"/>
    </row>
    <row r="340" ht="15.75" customHeight="1">
      <c r="A340" s="11"/>
      <c r="B340" s="18"/>
      <c r="C340" s="24"/>
    </row>
    <row r="341" ht="15.75" customHeight="1">
      <c r="A341" s="11"/>
      <c r="B341" s="18"/>
      <c r="C341" s="24"/>
    </row>
    <row r="342" ht="15.75" customHeight="1">
      <c r="A342" s="11"/>
      <c r="B342" s="18"/>
      <c r="C342" s="24"/>
    </row>
    <row r="343" ht="15.75" customHeight="1">
      <c r="A343" s="11"/>
      <c r="B343" s="18"/>
      <c r="C343" s="24"/>
    </row>
    <row r="344" ht="15.75" customHeight="1">
      <c r="A344" s="11"/>
      <c r="B344" s="18"/>
      <c r="C344" s="24"/>
    </row>
    <row r="345" ht="15.75" customHeight="1">
      <c r="A345" s="11"/>
      <c r="B345" s="18"/>
      <c r="C345" s="24"/>
    </row>
    <row r="346" ht="15.75" customHeight="1">
      <c r="A346" s="11"/>
      <c r="B346" s="18"/>
      <c r="C346" s="24"/>
    </row>
    <row r="347" ht="15.75" customHeight="1">
      <c r="A347" s="11"/>
      <c r="B347" s="18"/>
      <c r="C347" s="24"/>
    </row>
    <row r="348" ht="15.75" customHeight="1">
      <c r="A348" s="11"/>
      <c r="B348" s="18"/>
      <c r="C348" s="24"/>
    </row>
    <row r="349" ht="15.75" customHeight="1">
      <c r="A349" s="11"/>
      <c r="B349" s="18"/>
      <c r="C349" s="24"/>
    </row>
    <row r="350" ht="15.75" customHeight="1">
      <c r="A350" s="11"/>
      <c r="B350" s="18"/>
      <c r="C350" s="24"/>
    </row>
    <row r="351" ht="15.75" customHeight="1">
      <c r="A351" s="11"/>
      <c r="B351" s="18"/>
      <c r="C351" s="24"/>
    </row>
    <row r="352" ht="15.75" customHeight="1">
      <c r="A352" s="11"/>
      <c r="B352" s="18"/>
      <c r="C352" s="24"/>
    </row>
    <row r="353" ht="15.75" customHeight="1">
      <c r="A353" s="11"/>
      <c r="B353" s="18"/>
      <c r="C353" s="24"/>
    </row>
    <row r="354" ht="15.75" customHeight="1">
      <c r="A354" s="11"/>
      <c r="B354" s="18"/>
      <c r="C354" s="24"/>
    </row>
    <row r="355" ht="15.75" customHeight="1">
      <c r="A355" s="11"/>
      <c r="B355" s="18"/>
      <c r="C355" s="24"/>
    </row>
    <row r="356" ht="15.75" customHeight="1">
      <c r="A356" s="11"/>
      <c r="B356" s="18"/>
      <c r="C356" s="24"/>
    </row>
    <row r="357" ht="15.75" customHeight="1">
      <c r="A357" s="11"/>
      <c r="B357" s="18"/>
      <c r="C357" s="24"/>
    </row>
    <row r="358" ht="15.75" customHeight="1">
      <c r="A358" s="11"/>
      <c r="B358" s="18"/>
      <c r="C358" s="24"/>
    </row>
    <row r="359" ht="15.75" customHeight="1">
      <c r="A359" s="11"/>
      <c r="B359" s="18"/>
      <c r="C359" s="24"/>
    </row>
    <row r="360" ht="15.75" customHeight="1">
      <c r="A360" s="11"/>
      <c r="B360" s="18"/>
      <c r="C360" s="24"/>
    </row>
    <row r="361" ht="15.75" customHeight="1">
      <c r="A361" s="11"/>
      <c r="B361" s="18"/>
      <c r="C361" s="24"/>
    </row>
    <row r="362" ht="15.75" customHeight="1">
      <c r="A362" s="11"/>
      <c r="B362" s="18"/>
      <c r="C362" s="24"/>
    </row>
    <row r="363" ht="15.75" customHeight="1">
      <c r="A363" s="11"/>
      <c r="B363" s="18"/>
      <c r="C363" s="24"/>
    </row>
    <row r="364" ht="15.75" customHeight="1">
      <c r="A364" s="11"/>
      <c r="B364" s="18"/>
      <c r="C364" s="24"/>
    </row>
    <row r="365" ht="15.75" customHeight="1">
      <c r="A365" s="11"/>
      <c r="B365" s="18"/>
      <c r="C365" s="24"/>
    </row>
    <row r="366" ht="15.75" customHeight="1">
      <c r="A366" s="11"/>
      <c r="B366" s="18"/>
      <c r="C366" s="24"/>
    </row>
    <row r="367" ht="15.75" customHeight="1">
      <c r="A367" s="11"/>
      <c r="B367" s="18"/>
      <c r="C367" s="24"/>
    </row>
    <row r="368" ht="15.75" customHeight="1">
      <c r="A368" s="11"/>
      <c r="B368" s="18"/>
      <c r="C368" s="24"/>
    </row>
    <row r="369" ht="15.75" customHeight="1">
      <c r="A369" s="11"/>
      <c r="B369" s="18"/>
      <c r="C369" s="24"/>
    </row>
    <row r="370" ht="15.75" customHeight="1">
      <c r="A370" s="11"/>
      <c r="B370" s="18"/>
      <c r="C370" s="24"/>
    </row>
    <row r="371" ht="15.75" customHeight="1">
      <c r="A371" s="11"/>
      <c r="B371" s="18"/>
      <c r="C371" s="24"/>
    </row>
    <row r="372" ht="15.75" customHeight="1">
      <c r="A372" s="11"/>
      <c r="B372" s="18"/>
      <c r="C372" s="24"/>
    </row>
    <row r="373" ht="15.75" customHeight="1">
      <c r="A373" s="11"/>
      <c r="B373" s="18"/>
      <c r="C373" s="24"/>
    </row>
    <row r="374" ht="15.75" customHeight="1">
      <c r="A374" s="11"/>
      <c r="B374" s="18"/>
      <c r="C374" s="24"/>
    </row>
    <row r="375" ht="15.75" customHeight="1">
      <c r="A375" s="11"/>
      <c r="B375" s="18"/>
      <c r="C375" s="24"/>
    </row>
    <row r="376" ht="15.75" customHeight="1">
      <c r="A376" s="11"/>
      <c r="B376" s="18"/>
      <c r="C376" s="24"/>
    </row>
    <row r="377" ht="15.75" customHeight="1">
      <c r="A377" s="11"/>
      <c r="B377" s="18"/>
      <c r="C377" s="24"/>
    </row>
    <row r="378" ht="15.75" customHeight="1">
      <c r="A378" s="11"/>
      <c r="B378" s="18"/>
      <c r="C378" s="24"/>
    </row>
    <row r="379" ht="15.75" customHeight="1">
      <c r="A379" s="11"/>
      <c r="B379" s="18"/>
      <c r="C379" s="24"/>
    </row>
    <row r="380" ht="15.75" customHeight="1">
      <c r="A380" s="11"/>
      <c r="B380" s="18"/>
      <c r="C380" s="24"/>
    </row>
    <row r="381" ht="15.75" customHeight="1">
      <c r="A381" s="11"/>
      <c r="B381" s="18"/>
      <c r="C381" s="24"/>
    </row>
    <row r="382" ht="15.75" customHeight="1">
      <c r="A382" s="11"/>
      <c r="B382" s="18"/>
      <c r="C382" s="24"/>
    </row>
    <row r="383" ht="15.75" customHeight="1">
      <c r="A383" s="11"/>
      <c r="B383" s="18"/>
      <c r="C383" s="24"/>
    </row>
    <row r="384" ht="15.75" customHeight="1">
      <c r="A384" s="11"/>
      <c r="B384" s="18"/>
      <c r="C384" s="24"/>
    </row>
    <row r="385" ht="15.75" customHeight="1">
      <c r="A385" s="11"/>
      <c r="B385" s="18"/>
      <c r="C385" s="24"/>
    </row>
    <row r="386" ht="15.75" customHeight="1">
      <c r="A386" s="11"/>
      <c r="B386" s="18"/>
      <c r="C386" s="24"/>
    </row>
    <row r="387" ht="15.75" customHeight="1">
      <c r="A387" s="11"/>
      <c r="B387" s="18"/>
      <c r="C387" s="24"/>
    </row>
    <row r="388" ht="15.75" customHeight="1">
      <c r="A388" s="11"/>
      <c r="B388" s="18"/>
      <c r="C388" s="24"/>
    </row>
    <row r="389" ht="15.75" customHeight="1">
      <c r="A389" s="11"/>
      <c r="B389" s="18"/>
      <c r="C389" s="24"/>
    </row>
    <row r="390" ht="15.75" customHeight="1">
      <c r="A390" s="11"/>
      <c r="B390" s="18"/>
      <c r="C390" s="24"/>
    </row>
    <row r="391" ht="15.75" customHeight="1">
      <c r="A391" s="11"/>
      <c r="B391" s="18"/>
      <c r="C391" s="24"/>
    </row>
    <row r="392" ht="15.75" customHeight="1">
      <c r="A392" s="11"/>
      <c r="B392" s="18"/>
      <c r="C392" s="24"/>
    </row>
    <row r="393" ht="15.75" customHeight="1">
      <c r="A393" s="11"/>
      <c r="B393" s="18"/>
      <c r="C393" s="24"/>
    </row>
    <row r="394" ht="15.75" customHeight="1">
      <c r="A394" s="11"/>
      <c r="B394" s="18"/>
      <c r="C394" s="24"/>
    </row>
    <row r="395" ht="15.75" customHeight="1">
      <c r="A395" s="11"/>
      <c r="B395" s="18"/>
      <c r="C395" s="24"/>
    </row>
    <row r="396" ht="15.75" customHeight="1">
      <c r="A396" s="11"/>
      <c r="B396" s="18"/>
      <c r="C396" s="24"/>
    </row>
    <row r="397" ht="15.75" customHeight="1">
      <c r="A397" s="11"/>
      <c r="B397" s="18"/>
      <c r="C397" s="24"/>
    </row>
    <row r="398" ht="15.75" customHeight="1">
      <c r="A398" s="11"/>
      <c r="B398" s="18"/>
      <c r="C398" s="24"/>
    </row>
    <row r="399" ht="15.75" customHeight="1">
      <c r="A399" s="11"/>
      <c r="B399" s="18"/>
      <c r="C399" s="24"/>
    </row>
    <row r="400" ht="15.75" customHeight="1">
      <c r="A400" s="11"/>
      <c r="B400" s="18"/>
      <c r="C400" s="24"/>
    </row>
    <row r="401" ht="15.75" customHeight="1">
      <c r="A401" s="11"/>
      <c r="B401" s="18"/>
      <c r="C401" s="24"/>
    </row>
    <row r="402" ht="15.75" customHeight="1">
      <c r="A402" s="11"/>
      <c r="B402" s="18"/>
      <c r="C402" s="24"/>
    </row>
    <row r="403" ht="15.75" customHeight="1">
      <c r="A403" s="11"/>
      <c r="B403" s="18"/>
      <c r="C403" s="24"/>
    </row>
    <row r="404" ht="15.75" customHeight="1">
      <c r="A404" s="11"/>
      <c r="B404" s="18"/>
      <c r="C404" s="24"/>
    </row>
    <row r="405" ht="15.75" customHeight="1">
      <c r="A405" s="11"/>
      <c r="B405" s="18"/>
      <c r="C405" s="24"/>
    </row>
    <row r="406" ht="15.75" customHeight="1">
      <c r="A406" s="11"/>
      <c r="B406" s="18"/>
      <c r="C406" s="24"/>
    </row>
    <row r="407" ht="15.75" customHeight="1">
      <c r="A407" s="11"/>
      <c r="B407" s="18"/>
      <c r="C407" s="24"/>
    </row>
    <row r="408" ht="15.75" customHeight="1">
      <c r="A408" s="11"/>
      <c r="B408" s="18"/>
      <c r="C408" s="24"/>
    </row>
    <row r="409" ht="15.75" customHeight="1">
      <c r="A409" s="11"/>
      <c r="B409" s="18"/>
      <c r="C409" s="24"/>
    </row>
    <row r="410" ht="15.75" customHeight="1">
      <c r="A410" s="11"/>
      <c r="B410" s="18"/>
      <c r="C410" s="24"/>
    </row>
    <row r="411" ht="15.75" customHeight="1">
      <c r="A411" s="11"/>
      <c r="B411" s="18"/>
      <c r="C411" s="24"/>
    </row>
    <row r="412" ht="15.75" customHeight="1">
      <c r="A412" s="11"/>
      <c r="B412" s="18"/>
      <c r="C412" s="24"/>
    </row>
    <row r="413" ht="15.75" customHeight="1">
      <c r="A413" s="11"/>
      <c r="B413" s="18"/>
      <c r="C413" s="24"/>
    </row>
    <row r="414" ht="15.75" customHeight="1">
      <c r="A414" s="11"/>
      <c r="B414" s="18"/>
      <c r="C414" s="24"/>
    </row>
    <row r="415" ht="15.75" customHeight="1">
      <c r="A415" s="11"/>
      <c r="B415" s="18"/>
      <c r="C415" s="24"/>
    </row>
    <row r="416" ht="15.75" customHeight="1">
      <c r="A416" s="11"/>
      <c r="B416" s="18"/>
      <c r="C416" s="24"/>
    </row>
    <row r="417" ht="15.75" customHeight="1">
      <c r="A417" s="11"/>
      <c r="B417" s="18"/>
      <c r="C417" s="24"/>
    </row>
    <row r="418" ht="15.75" customHeight="1">
      <c r="A418" s="11"/>
      <c r="B418" s="18"/>
      <c r="C418" s="24"/>
    </row>
    <row r="419" ht="15.75" customHeight="1">
      <c r="A419" s="11"/>
      <c r="B419" s="18"/>
      <c r="C419" s="24"/>
    </row>
    <row r="420" ht="15.75" customHeight="1">
      <c r="A420" s="11"/>
      <c r="B420" s="18"/>
      <c r="C420" s="24"/>
    </row>
    <row r="421" ht="15.75" customHeight="1">
      <c r="A421" s="11"/>
      <c r="B421" s="18"/>
      <c r="C421" s="24"/>
    </row>
    <row r="422" ht="15.75" customHeight="1">
      <c r="A422" s="11"/>
      <c r="B422" s="18"/>
      <c r="C422" s="24"/>
    </row>
    <row r="423" ht="15.75" customHeight="1">
      <c r="A423" s="11"/>
      <c r="B423" s="18"/>
      <c r="C423" s="24"/>
    </row>
    <row r="424" ht="15.75" customHeight="1">
      <c r="A424" s="11"/>
      <c r="B424" s="18"/>
      <c r="C424" s="24"/>
    </row>
    <row r="425" ht="15.75" customHeight="1">
      <c r="A425" s="11"/>
      <c r="B425" s="18"/>
      <c r="C425" s="24"/>
    </row>
    <row r="426" ht="15.75" customHeight="1">
      <c r="A426" s="11"/>
      <c r="B426" s="18"/>
      <c r="C426" s="24"/>
    </row>
    <row r="427" ht="15.75" customHeight="1">
      <c r="A427" s="11"/>
      <c r="B427" s="18"/>
      <c r="C427" s="24"/>
    </row>
    <row r="428" ht="15.75" customHeight="1">
      <c r="A428" s="11"/>
      <c r="B428" s="18"/>
      <c r="C428" s="24"/>
    </row>
    <row r="429" ht="15.75" customHeight="1">
      <c r="A429" s="11"/>
      <c r="B429" s="18"/>
      <c r="C429" s="24"/>
    </row>
    <row r="430" ht="15.75" customHeight="1">
      <c r="A430" s="11"/>
      <c r="B430" s="18"/>
      <c r="C430" s="24"/>
    </row>
    <row r="431" ht="15.75" customHeight="1">
      <c r="A431" s="11"/>
      <c r="B431" s="18"/>
      <c r="C431" s="24"/>
    </row>
    <row r="432" ht="15.75" customHeight="1">
      <c r="A432" s="11"/>
      <c r="B432" s="18"/>
      <c r="C432" s="24"/>
    </row>
    <row r="433" ht="15.75" customHeight="1">
      <c r="A433" s="11"/>
      <c r="B433" s="18"/>
      <c r="C433" s="24"/>
    </row>
    <row r="434" ht="15.75" customHeight="1">
      <c r="A434" s="11"/>
      <c r="B434" s="18"/>
      <c r="C434" s="24"/>
    </row>
    <row r="435" ht="15.75" customHeight="1">
      <c r="A435" s="11"/>
      <c r="B435" s="18"/>
      <c r="C435" s="24"/>
    </row>
    <row r="436" ht="15.75" customHeight="1">
      <c r="A436" s="11"/>
      <c r="B436" s="18"/>
      <c r="C436" s="24"/>
    </row>
    <row r="437" ht="15.75" customHeight="1">
      <c r="A437" s="11"/>
      <c r="B437" s="18"/>
      <c r="C437" s="24"/>
    </row>
    <row r="438" ht="15.75" customHeight="1">
      <c r="A438" s="11"/>
      <c r="B438" s="18"/>
      <c r="C438" s="24"/>
    </row>
    <row r="439" ht="15.75" customHeight="1">
      <c r="A439" s="11"/>
      <c r="B439" s="18"/>
      <c r="C439" s="24"/>
    </row>
    <row r="440" ht="15.75" customHeight="1">
      <c r="A440" s="11"/>
      <c r="B440" s="18"/>
      <c r="C440" s="24"/>
    </row>
    <row r="441" ht="15.75" customHeight="1">
      <c r="A441" s="11"/>
      <c r="B441" s="18"/>
      <c r="C441" s="24"/>
    </row>
    <row r="442" ht="15.75" customHeight="1">
      <c r="A442" s="11"/>
      <c r="B442" s="18"/>
      <c r="C442" s="24"/>
    </row>
    <row r="443" ht="15.75" customHeight="1">
      <c r="A443" s="11"/>
      <c r="B443" s="18"/>
      <c r="C443" s="24"/>
    </row>
    <row r="444" ht="15.75" customHeight="1">
      <c r="A444" s="11"/>
      <c r="B444" s="18"/>
      <c r="C444" s="24"/>
    </row>
    <row r="445" ht="15.75" customHeight="1">
      <c r="A445" s="11"/>
      <c r="B445" s="18"/>
      <c r="C445" s="24"/>
    </row>
    <row r="446" ht="15.75" customHeight="1">
      <c r="A446" s="11"/>
      <c r="B446" s="18"/>
      <c r="C446" s="24"/>
    </row>
    <row r="447" ht="15.75" customHeight="1">
      <c r="A447" s="11"/>
      <c r="B447" s="18"/>
      <c r="C447" s="24"/>
    </row>
    <row r="448" ht="15.75" customHeight="1">
      <c r="A448" s="11"/>
      <c r="B448" s="18"/>
      <c r="C448" s="24"/>
    </row>
    <row r="449" ht="15.75" customHeight="1">
      <c r="A449" s="11"/>
      <c r="B449" s="18"/>
      <c r="C449" s="24"/>
    </row>
    <row r="450" ht="15.75" customHeight="1">
      <c r="A450" s="11"/>
      <c r="B450" s="18"/>
      <c r="C450" s="24"/>
    </row>
    <row r="451" ht="15.75" customHeight="1">
      <c r="A451" s="11"/>
      <c r="B451" s="18"/>
      <c r="C451" s="24"/>
    </row>
    <row r="452" ht="15.75" customHeight="1">
      <c r="A452" s="11"/>
      <c r="B452" s="18"/>
      <c r="C452" s="24"/>
    </row>
    <row r="453" ht="15.75" customHeight="1">
      <c r="A453" s="11"/>
      <c r="B453" s="18"/>
      <c r="C453" s="24"/>
    </row>
    <row r="454" ht="15.75" customHeight="1">
      <c r="A454" s="11"/>
      <c r="B454" s="18"/>
      <c r="C454" s="24"/>
    </row>
    <row r="455" ht="15.75" customHeight="1">
      <c r="A455" s="11"/>
      <c r="B455" s="18"/>
      <c r="C455" s="24"/>
    </row>
    <row r="456" ht="15.75" customHeight="1">
      <c r="A456" s="11"/>
      <c r="B456" s="18"/>
      <c r="C456" s="24"/>
    </row>
    <row r="457" ht="15.75" customHeight="1">
      <c r="A457" s="11"/>
      <c r="B457" s="18"/>
      <c r="C457" s="24"/>
    </row>
    <row r="458" ht="15.75" customHeight="1">
      <c r="A458" s="11"/>
      <c r="B458" s="18"/>
      <c r="C458" s="24"/>
    </row>
    <row r="459" ht="15.75" customHeight="1">
      <c r="A459" s="11"/>
      <c r="B459" s="18"/>
      <c r="C459" s="24"/>
    </row>
    <row r="460" ht="15.75" customHeight="1">
      <c r="A460" s="11"/>
      <c r="B460" s="18"/>
      <c r="C460" s="24"/>
    </row>
    <row r="461" ht="15.75" customHeight="1">
      <c r="A461" s="11"/>
      <c r="B461" s="18"/>
      <c r="C461" s="24"/>
    </row>
    <row r="462" ht="15.75" customHeight="1">
      <c r="A462" s="11"/>
      <c r="B462" s="18"/>
      <c r="C462" s="24"/>
    </row>
    <row r="463" ht="15.75" customHeight="1">
      <c r="A463" s="11"/>
      <c r="B463" s="18"/>
      <c r="C463" s="24"/>
    </row>
    <row r="464" ht="15.75" customHeight="1">
      <c r="A464" s="11"/>
      <c r="B464" s="18"/>
      <c r="C464" s="24"/>
    </row>
    <row r="465" ht="15.75" customHeight="1">
      <c r="A465" s="11"/>
      <c r="B465" s="18"/>
      <c r="C465" s="24"/>
    </row>
    <row r="466" ht="15.75" customHeight="1">
      <c r="A466" s="11"/>
      <c r="B466" s="18"/>
      <c r="C466" s="24"/>
    </row>
    <row r="467" ht="15.75" customHeight="1">
      <c r="A467" s="11"/>
      <c r="B467" s="18"/>
      <c r="C467" s="24"/>
    </row>
    <row r="468" ht="15.75" customHeight="1">
      <c r="A468" s="11"/>
      <c r="B468" s="18"/>
      <c r="C468" s="24"/>
    </row>
    <row r="469" ht="15.75" customHeight="1">
      <c r="A469" s="11"/>
      <c r="B469" s="18"/>
      <c r="C469" s="24"/>
    </row>
    <row r="470" ht="15.75" customHeight="1">
      <c r="A470" s="11"/>
      <c r="B470" s="18"/>
      <c r="C470" s="24"/>
    </row>
    <row r="471" ht="15.75" customHeight="1">
      <c r="A471" s="11"/>
      <c r="B471" s="18"/>
      <c r="C471" s="24"/>
    </row>
    <row r="472" ht="15.75" customHeight="1">
      <c r="A472" s="11"/>
      <c r="B472" s="18"/>
      <c r="C472" s="24"/>
    </row>
    <row r="473" ht="15.75" customHeight="1">
      <c r="A473" s="11"/>
      <c r="B473" s="18"/>
      <c r="C473" s="24"/>
    </row>
    <row r="474" ht="15.75" customHeight="1">
      <c r="A474" s="11"/>
      <c r="B474" s="18"/>
      <c r="C474" s="24"/>
    </row>
    <row r="475" ht="15.75" customHeight="1">
      <c r="A475" s="11"/>
      <c r="B475" s="18"/>
      <c r="C475" s="24"/>
    </row>
    <row r="476" ht="15.75" customHeight="1">
      <c r="A476" s="11"/>
      <c r="B476" s="18"/>
      <c r="C476" s="24"/>
    </row>
    <row r="477" ht="15.75" customHeight="1">
      <c r="A477" s="11"/>
      <c r="B477" s="18"/>
      <c r="C477" s="24"/>
    </row>
    <row r="478" ht="15.75" customHeight="1">
      <c r="A478" s="11"/>
      <c r="B478" s="18"/>
      <c r="C478" s="24"/>
    </row>
    <row r="479" ht="15.75" customHeight="1">
      <c r="A479" s="11"/>
      <c r="B479" s="18"/>
      <c r="C479" s="24"/>
    </row>
    <row r="480" ht="15.75" customHeight="1">
      <c r="A480" s="11"/>
      <c r="B480" s="18"/>
      <c r="C480" s="24"/>
    </row>
    <row r="481" ht="15.75" customHeight="1">
      <c r="A481" s="11"/>
      <c r="B481" s="18"/>
      <c r="C481" s="24"/>
    </row>
    <row r="482" ht="15.75" customHeight="1">
      <c r="A482" s="11"/>
      <c r="B482" s="18"/>
      <c r="C482" s="24"/>
    </row>
    <row r="483" ht="15.75" customHeight="1">
      <c r="A483" s="11"/>
      <c r="B483" s="18"/>
      <c r="C483" s="24"/>
    </row>
    <row r="484" ht="15.75" customHeight="1">
      <c r="A484" s="11"/>
      <c r="B484" s="18"/>
      <c r="C484" s="24"/>
    </row>
    <row r="485" ht="15.75" customHeight="1">
      <c r="A485" s="11"/>
      <c r="B485" s="18"/>
      <c r="C485" s="24"/>
    </row>
    <row r="486" ht="15.75" customHeight="1">
      <c r="A486" s="11"/>
      <c r="B486" s="18"/>
      <c r="C486" s="24"/>
    </row>
    <row r="487" ht="15.75" customHeight="1">
      <c r="A487" s="11"/>
      <c r="B487" s="18"/>
      <c r="C487" s="24"/>
    </row>
    <row r="488" ht="15.75" customHeight="1">
      <c r="A488" s="11"/>
      <c r="B488" s="18"/>
      <c r="C488" s="24"/>
    </row>
    <row r="489" ht="15.75" customHeight="1">
      <c r="A489" s="11"/>
      <c r="B489" s="18"/>
      <c r="C489" s="24"/>
    </row>
    <row r="490" ht="15.75" customHeight="1">
      <c r="A490" s="11"/>
      <c r="B490" s="18"/>
      <c r="C490" s="24"/>
    </row>
    <row r="491" ht="15.75" customHeight="1">
      <c r="A491" s="11"/>
      <c r="B491" s="18"/>
      <c r="C491" s="24"/>
    </row>
    <row r="492" ht="15.75" customHeight="1">
      <c r="A492" s="11"/>
      <c r="B492" s="18"/>
      <c r="C492" s="24"/>
    </row>
    <row r="493" ht="15.75" customHeight="1">
      <c r="A493" s="11"/>
      <c r="B493" s="18"/>
      <c r="C493" s="24"/>
    </row>
    <row r="494" ht="15.75" customHeight="1">
      <c r="A494" s="11"/>
      <c r="B494" s="18"/>
      <c r="C494" s="24"/>
    </row>
    <row r="495" ht="15.75" customHeight="1">
      <c r="A495" s="11"/>
      <c r="B495" s="18"/>
      <c r="C495" s="24"/>
    </row>
    <row r="496" ht="15.75" customHeight="1">
      <c r="A496" s="11"/>
      <c r="B496" s="18"/>
      <c r="C496" s="24"/>
    </row>
    <row r="497" ht="15.75" customHeight="1">
      <c r="A497" s="11"/>
      <c r="B497" s="18"/>
      <c r="C497" s="24"/>
    </row>
    <row r="498" ht="15.75" customHeight="1">
      <c r="A498" s="11"/>
      <c r="B498" s="18"/>
      <c r="C498" s="24"/>
    </row>
    <row r="499" ht="15.75" customHeight="1">
      <c r="A499" s="11"/>
      <c r="B499" s="18"/>
      <c r="C499" s="24"/>
    </row>
    <row r="500" ht="15.75" customHeight="1">
      <c r="A500" s="11"/>
      <c r="B500" s="18"/>
      <c r="C500" s="24"/>
    </row>
    <row r="501" ht="15.75" customHeight="1">
      <c r="A501" s="11"/>
      <c r="B501" s="18"/>
      <c r="C501" s="24"/>
    </row>
    <row r="502" ht="15.75" customHeight="1">
      <c r="A502" s="11"/>
      <c r="B502" s="18"/>
      <c r="C502" s="24"/>
    </row>
    <row r="503" ht="15.75" customHeight="1">
      <c r="A503" s="11"/>
      <c r="B503" s="18"/>
      <c r="C503" s="24"/>
    </row>
    <row r="504" ht="15.75" customHeight="1">
      <c r="A504" s="11"/>
      <c r="B504" s="18"/>
      <c r="C504" s="24"/>
    </row>
    <row r="505" ht="15.75" customHeight="1">
      <c r="A505" s="11"/>
      <c r="B505" s="18"/>
      <c r="C505" s="24"/>
    </row>
    <row r="506" ht="15.75" customHeight="1">
      <c r="A506" s="11"/>
      <c r="B506" s="18"/>
      <c r="C506" s="24"/>
    </row>
    <row r="507" ht="15.75" customHeight="1">
      <c r="A507" s="11"/>
      <c r="B507" s="18"/>
      <c r="C507" s="24"/>
    </row>
    <row r="508" ht="15.75" customHeight="1">
      <c r="A508" s="11"/>
      <c r="B508" s="18"/>
      <c r="C508" s="24"/>
    </row>
    <row r="509" ht="15.75" customHeight="1">
      <c r="A509" s="11"/>
      <c r="B509" s="18"/>
      <c r="C509" s="24"/>
    </row>
    <row r="510" ht="15.75" customHeight="1">
      <c r="A510" s="11"/>
      <c r="B510" s="18"/>
      <c r="C510" s="24"/>
    </row>
    <row r="511" ht="15.75" customHeight="1">
      <c r="A511" s="11"/>
      <c r="B511" s="18"/>
      <c r="C511" s="24"/>
    </row>
    <row r="512" ht="15.75" customHeight="1">
      <c r="A512" s="11"/>
      <c r="B512" s="18"/>
      <c r="C512" s="24"/>
    </row>
    <row r="513" ht="15.75" customHeight="1">
      <c r="A513" s="11"/>
      <c r="B513" s="18"/>
      <c r="C513" s="24"/>
    </row>
    <row r="514" ht="15.75" customHeight="1">
      <c r="A514" s="11"/>
      <c r="B514" s="18"/>
      <c r="C514" s="24"/>
    </row>
    <row r="515" ht="15.75" customHeight="1">
      <c r="A515" s="11"/>
      <c r="B515" s="18"/>
      <c r="C515" s="24"/>
    </row>
    <row r="516" ht="15.75" customHeight="1">
      <c r="A516" s="11"/>
      <c r="B516" s="18"/>
      <c r="C516" s="24"/>
    </row>
    <row r="517" ht="15.75" customHeight="1">
      <c r="A517" s="11"/>
      <c r="B517" s="18"/>
      <c r="C517" s="24"/>
    </row>
    <row r="518" ht="15.75" customHeight="1">
      <c r="A518" s="11"/>
      <c r="B518" s="18"/>
      <c r="C518" s="24"/>
    </row>
    <row r="519" ht="15.75" customHeight="1">
      <c r="A519" s="11"/>
      <c r="B519" s="18"/>
      <c r="C519" s="24"/>
    </row>
    <row r="520" ht="15.75" customHeight="1">
      <c r="A520" s="11"/>
      <c r="B520" s="18"/>
      <c r="C520" s="24"/>
    </row>
    <row r="521" ht="15.75" customHeight="1">
      <c r="A521" s="11"/>
      <c r="B521" s="18"/>
      <c r="C521" s="24"/>
    </row>
    <row r="522" ht="15.75" customHeight="1">
      <c r="A522" s="11"/>
      <c r="B522" s="18"/>
      <c r="C522" s="24"/>
    </row>
    <row r="523" ht="15.75" customHeight="1">
      <c r="A523" s="11"/>
      <c r="B523" s="18"/>
      <c r="C523" s="24"/>
    </row>
    <row r="524" ht="15.75" customHeight="1">
      <c r="A524" s="11"/>
      <c r="B524" s="18"/>
      <c r="C524" s="24"/>
    </row>
    <row r="525" ht="15.75" customHeight="1">
      <c r="A525" s="11"/>
      <c r="B525" s="18"/>
      <c r="C525" s="24"/>
    </row>
    <row r="526" ht="15.75" customHeight="1">
      <c r="A526" s="11"/>
      <c r="B526" s="18"/>
      <c r="C526" s="24"/>
    </row>
    <row r="527" ht="15.75" customHeight="1">
      <c r="A527" s="11"/>
      <c r="B527" s="18"/>
      <c r="C527" s="24"/>
    </row>
    <row r="528" ht="15.75" customHeight="1">
      <c r="A528" s="11"/>
      <c r="B528" s="18"/>
      <c r="C528" s="24"/>
    </row>
    <row r="529" ht="15.75" customHeight="1">
      <c r="A529" s="11"/>
      <c r="B529" s="18"/>
      <c r="C529" s="24"/>
    </row>
    <row r="530" ht="15.75" customHeight="1">
      <c r="A530" s="11"/>
      <c r="B530" s="18"/>
      <c r="C530" s="24"/>
    </row>
    <row r="531" ht="15.75" customHeight="1">
      <c r="A531" s="11"/>
      <c r="B531" s="18"/>
      <c r="C531" s="24"/>
    </row>
    <row r="532" ht="15.75" customHeight="1">
      <c r="A532" s="11"/>
      <c r="B532" s="18"/>
      <c r="C532" s="24"/>
    </row>
    <row r="533" ht="15.75" customHeight="1">
      <c r="A533" s="11"/>
      <c r="B533" s="18"/>
      <c r="C533" s="24"/>
    </row>
    <row r="534" ht="15.75" customHeight="1">
      <c r="A534" s="11"/>
      <c r="B534" s="18"/>
      <c r="C534" s="24"/>
    </row>
    <row r="535" ht="15.75" customHeight="1">
      <c r="A535" s="11"/>
      <c r="B535" s="18"/>
      <c r="C535" s="24"/>
    </row>
    <row r="536" ht="15.75" customHeight="1">
      <c r="A536" s="11"/>
      <c r="B536" s="18"/>
      <c r="C536" s="24"/>
    </row>
    <row r="537" ht="15.75" customHeight="1">
      <c r="A537" s="11"/>
      <c r="B537" s="18"/>
      <c r="C537" s="24"/>
    </row>
    <row r="538" ht="15.75" customHeight="1">
      <c r="A538" s="11"/>
      <c r="B538" s="18"/>
      <c r="C538" s="24"/>
    </row>
    <row r="539" ht="15.75" customHeight="1">
      <c r="A539" s="11"/>
      <c r="B539" s="18"/>
      <c r="C539" s="24"/>
    </row>
    <row r="540" ht="15.75" customHeight="1">
      <c r="A540" s="11"/>
      <c r="B540" s="18"/>
      <c r="C540" s="24"/>
    </row>
    <row r="541" ht="15.75" customHeight="1">
      <c r="A541" s="11"/>
      <c r="B541" s="18"/>
      <c r="C541" s="24"/>
    </row>
    <row r="542" ht="15.75" customHeight="1">
      <c r="A542" s="11"/>
      <c r="B542" s="18"/>
      <c r="C542" s="24"/>
    </row>
    <row r="543" ht="15.75" customHeight="1">
      <c r="A543" s="11"/>
      <c r="B543" s="18"/>
      <c r="C543" s="24"/>
    </row>
    <row r="544" ht="15.75" customHeight="1">
      <c r="A544" s="11"/>
      <c r="B544" s="18"/>
      <c r="C544" s="24"/>
    </row>
    <row r="545" ht="15.75" customHeight="1">
      <c r="A545" s="11"/>
      <c r="B545" s="18"/>
      <c r="C545" s="24"/>
    </row>
    <row r="546" ht="15.75" customHeight="1">
      <c r="A546" s="11"/>
      <c r="B546" s="18"/>
      <c r="C546" s="24"/>
    </row>
    <row r="547" ht="15.75" customHeight="1">
      <c r="A547" s="11"/>
      <c r="B547" s="18"/>
      <c r="C547" s="24"/>
    </row>
    <row r="548" ht="15.75" customHeight="1">
      <c r="A548" s="11"/>
      <c r="B548" s="18"/>
      <c r="C548" s="24"/>
    </row>
    <row r="549" ht="15.75" customHeight="1">
      <c r="A549" s="11"/>
      <c r="B549" s="18"/>
      <c r="C549" s="24"/>
    </row>
    <row r="550" ht="15.75" customHeight="1">
      <c r="A550" s="11"/>
      <c r="B550" s="18"/>
      <c r="C550" s="24"/>
    </row>
    <row r="551" ht="15.75" customHeight="1">
      <c r="A551" s="11"/>
      <c r="B551" s="18"/>
      <c r="C551" s="24"/>
    </row>
    <row r="552" ht="15.75" customHeight="1">
      <c r="A552" s="11"/>
      <c r="B552" s="18"/>
      <c r="C552" s="24"/>
    </row>
    <row r="553" ht="15.75" customHeight="1">
      <c r="A553" s="11"/>
      <c r="B553" s="18"/>
      <c r="C553" s="24"/>
    </row>
    <row r="554" ht="15.75" customHeight="1">
      <c r="A554" s="11"/>
      <c r="B554" s="18"/>
      <c r="C554" s="24"/>
    </row>
    <row r="555" ht="15.75" customHeight="1">
      <c r="A555" s="11"/>
      <c r="B555" s="18"/>
      <c r="C555" s="24"/>
    </row>
    <row r="556" ht="15.75" customHeight="1">
      <c r="A556" s="11"/>
      <c r="B556" s="18"/>
      <c r="C556" s="24"/>
    </row>
    <row r="557" ht="15.75" customHeight="1">
      <c r="A557" s="11"/>
      <c r="B557" s="18"/>
      <c r="C557" s="24"/>
    </row>
    <row r="558" ht="15.75" customHeight="1">
      <c r="A558" s="11"/>
      <c r="B558" s="18"/>
      <c r="C558" s="24"/>
    </row>
    <row r="559" ht="15.75" customHeight="1">
      <c r="A559" s="11"/>
      <c r="B559" s="18"/>
      <c r="C559" s="24"/>
    </row>
    <row r="560" ht="15.75" customHeight="1">
      <c r="A560" s="11"/>
      <c r="B560" s="18"/>
      <c r="C560" s="24"/>
    </row>
    <row r="561" ht="15.75" customHeight="1">
      <c r="A561" s="11"/>
      <c r="B561" s="18"/>
      <c r="C561" s="24"/>
    </row>
    <row r="562" ht="15.75" customHeight="1">
      <c r="A562" s="11"/>
      <c r="B562" s="18"/>
      <c r="C562" s="24"/>
    </row>
    <row r="563" ht="15.75" customHeight="1">
      <c r="A563" s="11"/>
      <c r="B563" s="18"/>
      <c r="C563" s="24"/>
    </row>
    <row r="564" ht="15.75" customHeight="1">
      <c r="A564" s="11"/>
      <c r="B564" s="18"/>
      <c r="C564" s="24"/>
    </row>
    <row r="565" ht="15.75" customHeight="1">
      <c r="A565" s="11"/>
      <c r="B565" s="18"/>
      <c r="C565" s="24"/>
    </row>
    <row r="566" ht="15.75" customHeight="1">
      <c r="A566" s="11"/>
      <c r="B566" s="18"/>
      <c r="C566" s="24"/>
    </row>
    <row r="567" ht="15.75" customHeight="1">
      <c r="A567" s="11"/>
      <c r="B567" s="18"/>
      <c r="C567" s="24"/>
    </row>
    <row r="568" ht="15.75" customHeight="1">
      <c r="A568" s="11"/>
      <c r="B568" s="18"/>
      <c r="C568" s="24"/>
    </row>
    <row r="569" ht="15.75" customHeight="1">
      <c r="A569" s="11"/>
      <c r="B569" s="18"/>
      <c r="C569" s="24"/>
    </row>
    <row r="570" ht="15.75" customHeight="1">
      <c r="A570" s="11"/>
      <c r="B570" s="18"/>
      <c r="C570" s="24"/>
    </row>
    <row r="571" ht="15.75" customHeight="1">
      <c r="A571" s="11"/>
      <c r="B571" s="18"/>
      <c r="C571" s="24"/>
    </row>
    <row r="572" ht="15.75" customHeight="1">
      <c r="A572" s="11"/>
      <c r="B572" s="18"/>
      <c r="C572" s="24"/>
    </row>
    <row r="573" ht="15.75" customHeight="1">
      <c r="A573" s="11"/>
      <c r="B573" s="18"/>
      <c r="C573" s="24"/>
    </row>
    <row r="574" ht="15.75" customHeight="1">
      <c r="A574" s="11"/>
      <c r="B574" s="18"/>
      <c r="C574" s="24"/>
    </row>
    <row r="575" ht="15.75" customHeight="1">
      <c r="A575" s="11"/>
      <c r="B575" s="18"/>
      <c r="C575" s="24"/>
    </row>
    <row r="576" ht="15.75" customHeight="1">
      <c r="A576" s="11"/>
      <c r="B576" s="18"/>
      <c r="C576" s="24"/>
    </row>
    <row r="577" ht="15.75" customHeight="1">
      <c r="A577" s="11"/>
      <c r="B577" s="18"/>
      <c r="C577" s="24"/>
    </row>
    <row r="578" ht="15.75" customHeight="1">
      <c r="A578" s="11"/>
      <c r="B578" s="18"/>
      <c r="C578" s="24"/>
    </row>
    <row r="579" ht="15.75" customHeight="1">
      <c r="A579" s="11"/>
      <c r="B579" s="18"/>
      <c r="C579" s="24"/>
    </row>
    <row r="580" ht="15.75" customHeight="1">
      <c r="A580" s="11"/>
      <c r="B580" s="18"/>
      <c r="C580" s="24"/>
    </row>
    <row r="581" ht="15.75" customHeight="1">
      <c r="A581" s="11"/>
      <c r="B581" s="18"/>
      <c r="C581" s="24"/>
    </row>
    <row r="582" ht="15.75" customHeight="1">
      <c r="A582" s="11"/>
      <c r="B582" s="18"/>
      <c r="C582" s="24"/>
    </row>
    <row r="583" ht="15.75" customHeight="1">
      <c r="A583" s="11"/>
      <c r="B583" s="18"/>
      <c r="C583" s="24"/>
    </row>
    <row r="584" ht="15.75" customHeight="1">
      <c r="A584" s="11"/>
      <c r="B584" s="18"/>
      <c r="C584" s="24"/>
    </row>
    <row r="585" ht="15.75" customHeight="1">
      <c r="A585" s="11"/>
      <c r="B585" s="18"/>
      <c r="C585" s="24"/>
    </row>
    <row r="586" ht="15.75" customHeight="1">
      <c r="A586" s="11"/>
      <c r="B586" s="18"/>
      <c r="C586" s="24"/>
    </row>
    <row r="587" ht="15.75" customHeight="1">
      <c r="A587" s="11"/>
      <c r="B587" s="18"/>
      <c r="C587" s="24"/>
    </row>
    <row r="588" ht="15.75" customHeight="1">
      <c r="A588" s="11"/>
      <c r="B588" s="18"/>
      <c r="C588" s="24"/>
    </row>
    <row r="589" ht="15.75" customHeight="1">
      <c r="A589" s="11"/>
      <c r="B589" s="18"/>
      <c r="C589" s="24"/>
    </row>
    <row r="590" ht="15.75" customHeight="1">
      <c r="A590" s="11"/>
      <c r="B590" s="18"/>
      <c r="C590" s="24"/>
    </row>
    <row r="591" ht="15.75" customHeight="1">
      <c r="A591" s="11"/>
      <c r="B591" s="18"/>
      <c r="C591" s="24"/>
    </row>
    <row r="592" ht="15.75" customHeight="1">
      <c r="A592" s="11"/>
      <c r="B592" s="18"/>
      <c r="C592" s="24"/>
    </row>
    <row r="593" ht="15.75" customHeight="1">
      <c r="A593" s="11"/>
      <c r="B593" s="18"/>
      <c r="C593" s="24"/>
    </row>
    <row r="594" ht="15.75" customHeight="1">
      <c r="A594" s="11"/>
      <c r="B594" s="18"/>
      <c r="C594" s="24"/>
    </row>
    <row r="595" ht="15.75" customHeight="1">
      <c r="A595" s="11"/>
      <c r="B595" s="18"/>
      <c r="C595" s="24"/>
    </row>
    <row r="596" ht="15.75" customHeight="1">
      <c r="A596" s="11"/>
      <c r="B596" s="18"/>
      <c r="C596" s="24"/>
    </row>
    <row r="597" ht="15.75" customHeight="1">
      <c r="A597" s="11"/>
      <c r="B597" s="18"/>
      <c r="C597" s="24"/>
    </row>
    <row r="598" ht="15.75" customHeight="1">
      <c r="A598" s="11"/>
      <c r="B598" s="18"/>
      <c r="C598" s="24"/>
    </row>
    <row r="599" ht="15.75" customHeight="1">
      <c r="A599" s="11"/>
      <c r="B599" s="18"/>
      <c r="C599" s="24"/>
    </row>
    <row r="600" ht="15.75" customHeight="1">
      <c r="A600" s="11"/>
      <c r="B600" s="18"/>
      <c r="C600" s="24"/>
    </row>
    <row r="601" ht="15.75" customHeight="1">
      <c r="A601" s="11"/>
      <c r="B601" s="18"/>
      <c r="C601" s="24"/>
    </row>
    <row r="602" ht="15.75" customHeight="1">
      <c r="A602" s="11"/>
      <c r="B602" s="18"/>
      <c r="C602" s="24"/>
    </row>
    <row r="603" ht="15.75" customHeight="1">
      <c r="A603" s="11"/>
      <c r="B603" s="18"/>
      <c r="C603" s="24"/>
    </row>
    <row r="604" ht="15.75" customHeight="1">
      <c r="A604" s="11"/>
      <c r="B604" s="18"/>
      <c r="C604" s="24"/>
    </row>
    <row r="605" ht="15.75" customHeight="1">
      <c r="A605" s="11"/>
      <c r="B605" s="18"/>
      <c r="C605" s="24"/>
    </row>
    <row r="606" ht="15.75" customHeight="1">
      <c r="A606" s="11"/>
      <c r="B606" s="18"/>
      <c r="C606" s="24"/>
    </row>
    <row r="607" ht="15.75" customHeight="1">
      <c r="A607" s="11"/>
      <c r="B607" s="18"/>
      <c r="C607" s="24"/>
    </row>
    <row r="608" ht="15.75" customHeight="1">
      <c r="A608" s="11"/>
      <c r="B608" s="18"/>
      <c r="C608" s="24"/>
    </row>
    <row r="609" ht="15.75" customHeight="1">
      <c r="A609" s="11"/>
      <c r="B609" s="18"/>
      <c r="C609" s="24"/>
    </row>
    <row r="610" ht="15.75" customHeight="1">
      <c r="A610" s="11"/>
      <c r="B610" s="18"/>
      <c r="C610" s="24"/>
    </row>
    <row r="611" ht="15.75" customHeight="1">
      <c r="A611" s="11"/>
      <c r="B611" s="18"/>
      <c r="C611" s="24"/>
    </row>
    <row r="612" ht="15.75" customHeight="1">
      <c r="A612" s="11"/>
      <c r="B612" s="18"/>
      <c r="C612" s="24"/>
    </row>
    <row r="613" ht="15.75" customHeight="1">
      <c r="A613" s="11"/>
      <c r="B613" s="18"/>
      <c r="C613" s="24"/>
    </row>
    <row r="614" ht="15.75" customHeight="1">
      <c r="A614" s="11"/>
      <c r="B614" s="18"/>
      <c r="C614" s="24"/>
    </row>
    <row r="615" ht="15.75" customHeight="1">
      <c r="A615" s="11"/>
      <c r="B615" s="18"/>
      <c r="C615" s="24"/>
    </row>
    <row r="616" ht="15.75" customHeight="1">
      <c r="A616" s="11"/>
      <c r="B616" s="18"/>
      <c r="C616" s="24"/>
    </row>
    <row r="617" ht="15.75" customHeight="1">
      <c r="A617" s="11"/>
      <c r="B617" s="18"/>
      <c r="C617" s="24"/>
    </row>
    <row r="618" ht="15.75" customHeight="1">
      <c r="A618" s="11"/>
      <c r="B618" s="18"/>
      <c r="C618" s="24"/>
    </row>
    <row r="619" ht="15.75" customHeight="1">
      <c r="A619" s="11"/>
      <c r="B619" s="18"/>
      <c r="C619" s="24"/>
    </row>
    <row r="620" ht="15.75" customHeight="1">
      <c r="A620" s="11"/>
      <c r="B620" s="18"/>
      <c r="C620" s="24"/>
    </row>
    <row r="621" ht="15.75" customHeight="1">
      <c r="A621" s="11"/>
      <c r="B621" s="18"/>
      <c r="C621" s="24"/>
    </row>
    <row r="622" ht="15.75" customHeight="1">
      <c r="A622" s="11"/>
      <c r="B622" s="18"/>
      <c r="C622" s="24"/>
    </row>
    <row r="623" ht="15.75" customHeight="1">
      <c r="A623" s="11"/>
      <c r="B623" s="18"/>
      <c r="C623" s="24"/>
    </row>
    <row r="624" ht="15.75" customHeight="1">
      <c r="A624" s="11"/>
      <c r="B624" s="18"/>
      <c r="C624" s="24"/>
    </row>
    <row r="625" ht="15.75" customHeight="1">
      <c r="A625" s="11"/>
      <c r="B625" s="18"/>
      <c r="C625" s="24"/>
    </row>
    <row r="626" ht="15.75" customHeight="1">
      <c r="A626" s="11"/>
      <c r="B626" s="18"/>
      <c r="C626" s="24"/>
    </row>
    <row r="627" ht="15.75" customHeight="1">
      <c r="A627" s="11"/>
      <c r="B627" s="18"/>
      <c r="C627" s="24"/>
    </row>
    <row r="628" ht="15.75" customHeight="1">
      <c r="A628" s="11"/>
      <c r="B628" s="18"/>
      <c r="C628" s="24"/>
    </row>
    <row r="629" ht="15.75" customHeight="1">
      <c r="A629" s="11"/>
      <c r="B629" s="18"/>
      <c r="C629" s="24"/>
    </row>
    <row r="630" ht="15.75" customHeight="1">
      <c r="A630" s="11"/>
      <c r="B630" s="18"/>
      <c r="C630" s="24"/>
    </row>
    <row r="631" ht="15.75" customHeight="1">
      <c r="A631" s="11"/>
      <c r="B631" s="18"/>
      <c r="C631" s="24"/>
    </row>
    <row r="632" ht="15.75" customHeight="1">
      <c r="A632" s="11"/>
      <c r="B632" s="18"/>
      <c r="C632" s="24"/>
    </row>
    <row r="633" ht="15.75" customHeight="1">
      <c r="A633" s="11"/>
      <c r="B633" s="18"/>
      <c r="C633" s="24"/>
    </row>
    <row r="634" ht="15.75" customHeight="1">
      <c r="A634" s="11"/>
      <c r="B634" s="18"/>
      <c r="C634" s="24"/>
    </row>
    <row r="635" ht="15.75" customHeight="1">
      <c r="A635" s="11"/>
      <c r="B635" s="18"/>
      <c r="C635" s="24"/>
    </row>
    <row r="636" ht="15.75" customHeight="1">
      <c r="A636" s="11"/>
      <c r="B636" s="18"/>
      <c r="C636" s="24"/>
    </row>
    <row r="637" ht="15.75" customHeight="1">
      <c r="A637" s="11"/>
      <c r="B637" s="18"/>
      <c r="C637" s="24"/>
    </row>
    <row r="638" ht="15.75" customHeight="1">
      <c r="A638" s="11"/>
      <c r="B638" s="18"/>
      <c r="C638" s="24"/>
    </row>
    <row r="639" ht="15.75" customHeight="1">
      <c r="A639" s="11"/>
      <c r="B639" s="18"/>
      <c r="C639" s="24"/>
    </row>
    <row r="640" ht="15.75" customHeight="1">
      <c r="A640" s="11"/>
      <c r="B640" s="18"/>
      <c r="C640" s="24"/>
    </row>
    <row r="641" ht="15.75" customHeight="1">
      <c r="A641" s="11"/>
      <c r="B641" s="18"/>
      <c r="C641" s="24"/>
    </row>
    <row r="642" ht="15.75" customHeight="1">
      <c r="A642" s="11"/>
      <c r="B642" s="18"/>
      <c r="C642" s="24"/>
    </row>
    <row r="643" ht="15.75" customHeight="1">
      <c r="A643" s="11"/>
      <c r="B643" s="18"/>
      <c r="C643" s="24"/>
    </row>
    <row r="644" ht="15.75" customHeight="1">
      <c r="A644" s="11"/>
      <c r="B644" s="18"/>
      <c r="C644" s="24"/>
    </row>
    <row r="645" ht="15.75" customHeight="1">
      <c r="A645" s="11"/>
      <c r="B645" s="18"/>
      <c r="C645" s="24"/>
    </row>
    <row r="646" ht="15.75" customHeight="1">
      <c r="A646" s="11"/>
      <c r="B646" s="18"/>
      <c r="C646" s="24"/>
    </row>
    <row r="647" ht="15.75" customHeight="1">
      <c r="A647" s="11"/>
      <c r="B647" s="18"/>
      <c r="C647" s="24"/>
    </row>
    <row r="648" ht="15.75" customHeight="1">
      <c r="A648" s="11"/>
      <c r="B648" s="18"/>
      <c r="C648" s="24"/>
    </row>
    <row r="649" ht="15.75" customHeight="1">
      <c r="A649" s="11"/>
      <c r="B649" s="18"/>
      <c r="C649" s="24"/>
    </row>
    <row r="650" ht="15.75" customHeight="1">
      <c r="A650" s="11"/>
      <c r="B650" s="18"/>
      <c r="C650" s="24"/>
    </row>
    <row r="651" ht="15.75" customHeight="1">
      <c r="A651" s="11"/>
      <c r="B651" s="18"/>
      <c r="C651" s="24"/>
    </row>
    <row r="652" ht="15.75" customHeight="1">
      <c r="A652" s="11"/>
      <c r="B652" s="18"/>
      <c r="C652" s="24"/>
    </row>
    <row r="653" ht="15.75" customHeight="1">
      <c r="A653" s="11"/>
      <c r="B653" s="18"/>
      <c r="C653" s="24"/>
    </row>
    <row r="654" ht="15.75" customHeight="1">
      <c r="A654" s="11"/>
      <c r="B654" s="18"/>
      <c r="C654" s="24"/>
    </row>
    <row r="655" ht="15.75" customHeight="1">
      <c r="A655" s="11"/>
      <c r="B655" s="18"/>
      <c r="C655" s="24"/>
    </row>
    <row r="656" ht="15.75" customHeight="1">
      <c r="A656" s="11"/>
      <c r="B656" s="18"/>
      <c r="C656" s="24"/>
    </row>
    <row r="657" ht="15.75" customHeight="1">
      <c r="A657" s="11"/>
      <c r="B657" s="18"/>
      <c r="C657" s="24"/>
    </row>
    <row r="658" ht="15.75" customHeight="1">
      <c r="A658" s="11"/>
      <c r="B658" s="18"/>
      <c r="C658" s="24"/>
    </row>
    <row r="659" ht="15.75" customHeight="1">
      <c r="A659" s="11"/>
      <c r="B659" s="18"/>
      <c r="C659" s="24"/>
    </row>
    <row r="660" ht="15.75" customHeight="1">
      <c r="A660" s="11"/>
      <c r="B660" s="18"/>
      <c r="C660" s="24"/>
    </row>
    <row r="661" ht="15.75" customHeight="1">
      <c r="A661" s="11"/>
      <c r="B661" s="18"/>
      <c r="C661" s="24"/>
    </row>
    <row r="662" ht="15.75" customHeight="1">
      <c r="A662" s="11"/>
      <c r="B662" s="18"/>
      <c r="C662" s="24"/>
    </row>
    <row r="663" ht="15.75" customHeight="1">
      <c r="A663" s="11"/>
      <c r="B663" s="18"/>
      <c r="C663" s="24"/>
    </row>
    <row r="664" ht="15.75" customHeight="1">
      <c r="A664" s="11"/>
      <c r="B664" s="18"/>
      <c r="C664" s="24"/>
    </row>
    <row r="665" ht="15.75" customHeight="1">
      <c r="A665" s="11"/>
      <c r="B665" s="18"/>
      <c r="C665" s="24"/>
    </row>
    <row r="666" ht="15.75" customHeight="1">
      <c r="A666" s="11"/>
      <c r="B666" s="18"/>
      <c r="C666" s="24"/>
    </row>
    <row r="667" ht="15.75" customHeight="1">
      <c r="A667" s="11"/>
      <c r="B667" s="18"/>
      <c r="C667" s="24"/>
    </row>
    <row r="668" ht="15.75" customHeight="1">
      <c r="A668" s="11"/>
      <c r="B668" s="18"/>
      <c r="C668" s="24"/>
    </row>
    <row r="669" ht="15.75" customHeight="1">
      <c r="A669" s="11"/>
      <c r="B669" s="18"/>
      <c r="C669" s="24"/>
    </row>
    <row r="670" ht="15.75" customHeight="1">
      <c r="A670" s="11"/>
      <c r="B670" s="18"/>
      <c r="C670" s="24"/>
    </row>
    <row r="671" ht="15.75" customHeight="1">
      <c r="A671" s="11"/>
      <c r="B671" s="18"/>
      <c r="C671" s="24"/>
    </row>
    <row r="672" ht="15.75" customHeight="1">
      <c r="A672" s="11"/>
      <c r="B672" s="18"/>
      <c r="C672" s="24"/>
    </row>
    <row r="673" ht="15.75" customHeight="1">
      <c r="A673" s="11"/>
      <c r="B673" s="18"/>
      <c r="C673" s="24"/>
    </row>
    <row r="674" ht="15.75" customHeight="1">
      <c r="A674" s="11"/>
      <c r="B674" s="18"/>
      <c r="C674" s="24"/>
    </row>
    <row r="675" ht="15.75" customHeight="1">
      <c r="A675" s="11"/>
      <c r="B675" s="18"/>
      <c r="C675" s="24"/>
    </row>
    <row r="676" ht="15.75" customHeight="1">
      <c r="A676" s="11"/>
      <c r="B676" s="18"/>
      <c r="C676" s="24"/>
    </row>
    <row r="677" ht="15.75" customHeight="1">
      <c r="A677" s="11"/>
      <c r="B677" s="18"/>
      <c r="C677" s="24"/>
    </row>
    <row r="678" ht="15.75" customHeight="1">
      <c r="A678" s="11"/>
      <c r="B678" s="18"/>
      <c r="C678" s="24"/>
    </row>
    <row r="679" ht="15.75" customHeight="1">
      <c r="A679" s="11"/>
      <c r="B679" s="18"/>
      <c r="C679" s="24"/>
    </row>
    <row r="680" ht="15.75" customHeight="1">
      <c r="A680" s="11"/>
      <c r="B680" s="18"/>
      <c r="C680" s="24"/>
    </row>
    <row r="681" ht="15.75" customHeight="1">
      <c r="A681" s="11"/>
      <c r="B681" s="18"/>
      <c r="C681" s="24"/>
    </row>
    <row r="682" ht="15.75" customHeight="1">
      <c r="A682" s="11"/>
      <c r="B682" s="18"/>
      <c r="C682" s="24"/>
    </row>
    <row r="683" ht="15.75" customHeight="1">
      <c r="A683" s="11"/>
      <c r="B683" s="18"/>
      <c r="C683" s="24"/>
    </row>
    <row r="684" ht="15.75" customHeight="1">
      <c r="A684" s="11"/>
      <c r="B684" s="18"/>
      <c r="C684" s="24"/>
    </row>
    <row r="685" ht="15.75" customHeight="1">
      <c r="A685" s="11"/>
      <c r="B685" s="18"/>
      <c r="C685" s="24"/>
    </row>
    <row r="686" ht="15.75" customHeight="1">
      <c r="A686" s="11"/>
      <c r="B686" s="18"/>
      <c r="C686" s="24"/>
    </row>
    <row r="687" ht="15.75" customHeight="1">
      <c r="A687" s="11"/>
      <c r="B687" s="18"/>
      <c r="C687" s="24"/>
    </row>
    <row r="688" ht="15.75" customHeight="1">
      <c r="A688" s="11"/>
      <c r="B688" s="18"/>
      <c r="C688" s="24"/>
    </row>
    <row r="689" ht="15.75" customHeight="1">
      <c r="A689" s="11"/>
      <c r="B689" s="18"/>
      <c r="C689" s="24"/>
    </row>
    <row r="690" ht="15.75" customHeight="1">
      <c r="A690" s="11"/>
      <c r="B690" s="18"/>
      <c r="C690" s="24"/>
    </row>
    <row r="691" ht="15.75" customHeight="1">
      <c r="A691" s="11"/>
      <c r="B691" s="18"/>
      <c r="C691" s="24"/>
    </row>
    <row r="692" ht="15.75" customHeight="1">
      <c r="A692" s="11"/>
      <c r="B692" s="18"/>
      <c r="C692" s="24"/>
    </row>
    <row r="693" ht="15.75" customHeight="1">
      <c r="A693" s="11"/>
      <c r="B693" s="18"/>
      <c r="C693" s="24"/>
    </row>
    <row r="694" ht="15.75" customHeight="1">
      <c r="A694" s="11"/>
      <c r="B694" s="18"/>
      <c r="C694" s="24"/>
    </row>
    <row r="695" ht="15.75" customHeight="1">
      <c r="A695" s="11"/>
      <c r="B695" s="18"/>
      <c r="C695" s="24"/>
    </row>
    <row r="696" ht="15.75" customHeight="1">
      <c r="A696" s="11"/>
      <c r="B696" s="18"/>
      <c r="C696" s="24"/>
    </row>
    <row r="697" ht="15.75" customHeight="1">
      <c r="A697" s="11"/>
      <c r="B697" s="18"/>
      <c r="C697" s="24"/>
    </row>
    <row r="698" ht="15.75" customHeight="1">
      <c r="A698" s="11"/>
      <c r="B698" s="18"/>
      <c r="C698" s="24"/>
    </row>
    <row r="699" ht="15.75" customHeight="1">
      <c r="A699" s="11"/>
      <c r="B699" s="18"/>
      <c r="C699" s="24"/>
    </row>
    <row r="700" ht="15.75" customHeight="1">
      <c r="A700" s="11"/>
      <c r="B700" s="18"/>
      <c r="C700" s="24"/>
    </row>
    <row r="701" ht="15.75" customHeight="1">
      <c r="A701" s="11"/>
      <c r="B701" s="18"/>
      <c r="C701" s="24"/>
    </row>
    <row r="702" ht="15.75" customHeight="1">
      <c r="A702" s="11"/>
      <c r="B702" s="18"/>
      <c r="C702" s="24"/>
    </row>
    <row r="703" ht="15.75" customHeight="1">
      <c r="A703" s="11"/>
      <c r="B703" s="18"/>
      <c r="C703" s="24"/>
    </row>
    <row r="704" ht="15.75" customHeight="1">
      <c r="A704" s="11"/>
      <c r="B704" s="18"/>
      <c r="C704" s="24"/>
    </row>
    <row r="705" ht="15.75" customHeight="1">
      <c r="A705" s="11"/>
      <c r="B705" s="18"/>
      <c r="C705" s="24"/>
    </row>
    <row r="706" ht="15.75" customHeight="1">
      <c r="A706" s="11"/>
      <c r="B706" s="18"/>
      <c r="C706" s="24"/>
    </row>
    <row r="707" ht="15.75" customHeight="1">
      <c r="A707" s="11"/>
      <c r="B707" s="18"/>
      <c r="C707" s="24"/>
    </row>
    <row r="708" ht="15.75" customHeight="1">
      <c r="A708" s="11"/>
      <c r="B708" s="18"/>
      <c r="C708" s="24"/>
    </row>
    <row r="709" ht="15.75" customHeight="1">
      <c r="A709" s="11"/>
      <c r="B709" s="18"/>
      <c r="C709" s="24"/>
    </row>
    <row r="710" ht="15.75" customHeight="1">
      <c r="A710" s="11"/>
      <c r="B710" s="18"/>
      <c r="C710" s="24"/>
    </row>
    <row r="711" ht="15.75" customHeight="1">
      <c r="A711" s="11"/>
      <c r="B711" s="18"/>
      <c r="C711" s="24"/>
    </row>
    <row r="712" ht="15.75" customHeight="1">
      <c r="A712" s="11"/>
      <c r="B712" s="18"/>
      <c r="C712" s="24"/>
    </row>
    <row r="713" ht="15.75" customHeight="1">
      <c r="A713" s="11"/>
      <c r="B713" s="18"/>
      <c r="C713" s="24"/>
    </row>
    <row r="714" ht="15.75" customHeight="1">
      <c r="A714" s="11"/>
      <c r="B714" s="18"/>
      <c r="C714" s="24"/>
    </row>
    <row r="715" ht="15.75" customHeight="1">
      <c r="A715" s="11"/>
      <c r="B715" s="18"/>
      <c r="C715" s="24"/>
    </row>
    <row r="716" ht="15.75" customHeight="1">
      <c r="A716" s="11"/>
      <c r="B716" s="18"/>
      <c r="C716" s="24"/>
    </row>
    <row r="717" ht="15.75" customHeight="1">
      <c r="A717" s="11"/>
      <c r="B717" s="18"/>
      <c r="C717" s="24"/>
    </row>
    <row r="718" ht="15.75" customHeight="1">
      <c r="A718" s="11"/>
      <c r="B718" s="18"/>
      <c r="C718" s="24"/>
    </row>
    <row r="719" ht="15.75" customHeight="1">
      <c r="A719" s="11"/>
      <c r="B719" s="18"/>
      <c r="C719" s="24"/>
    </row>
    <row r="720" ht="15.75" customHeight="1">
      <c r="A720" s="11"/>
      <c r="B720" s="18"/>
      <c r="C720" s="24"/>
    </row>
    <row r="721" ht="15.75" customHeight="1">
      <c r="A721" s="11"/>
      <c r="B721" s="18"/>
      <c r="C721" s="24"/>
    </row>
    <row r="722" ht="15.75" customHeight="1">
      <c r="A722" s="11"/>
      <c r="B722" s="18"/>
      <c r="C722" s="24"/>
    </row>
    <row r="723" ht="15.75" customHeight="1">
      <c r="A723" s="11"/>
      <c r="B723" s="18"/>
      <c r="C723" s="24"/>
    </row>
    <row r="724" ht="15.75" customHeight="1">
      <c r="A724" s="11"/>
      <c r="B724" s="18"/>
      <c r="C724" s="24"/>
    </row>
    <row r="725" ht="15.75" customHeight="1">
      <c r="A725" s="11"/>
      <c r="B725" s="18"/>
      <c r="C725" s="24"/>
    </row>
    <row r="726" ht="15.75" customHeight="1">
      <c r="A726" s="11"/>
      <c r="B726" s="18"/>
      <c r="C726" s="24"/>
    </row>
    <row r="727" ht="15.75" customHeight="1">
      <c r="A727" s="11"/>
      <c r="B727" s="18"/>
      <c r="C727" s="24"/>
    </row>
    <row r="728" ht="15.75" customHeight="1">
      <c r="A728" s="11"/>
      <c r="B728" s="18"/>
      <c r="C728" s="24"/>
    </row>
    <row r="729" ht="15.75" customHeight="1">
      <c r="A729" s="11"/>
      <c r="B729" s="18"/>
      <c r="C729" s="24"/>
    </row>
    <row r="730" ht="15.75" customHeight="1">
      <c r="A730" s="11"/>
      <c r="B730" s="18"/>
      <c r="C730" s="24"/>
    </row>
    <row r="731" ht="15.75" customHeight="1">
      <c r="A731" s="11"/>
      <c r="B731" s="18"/>
      <c r="C731" s="24"/>
    </row>
    <row r="732" ht="15.75" customHeight="1">
      <c r="A732" s="11"/>
      <c r="B732" s="18"/>
      <c r="C732" s="24"/>
    </row>
    <row r="733" ht="15.75" customHeight="1">
      <c r="A733" s="11"/>
      <c r="B733" s="18"/>
      <c r="C733" s="24"/>
    </row>
    <row r="734" ht="15.75" customHeight="1">
      <c r="A734" s="11"/>
      <c r="B734" s="18"/>
      <c r="C734" s="24"/>
    </row>
    <row r="735" ht="15.75" customHeight="1">
      <c r="A735" s="11"/>
      <c r="B735" s="18"/>
      <c r="C735" s="24"/>
    </row>
    <row r="736" ht="15.75" customHeight="1">
      <c r="A736" s="11"/>
      <c r="B736" s="18"/>
      <c r="C736" s="24"/>
    </row>
    <row r="737" ht="15.75" customHeight="1">
      <c r="A737" s="11"/>
      <c r="B737" s="18"/>
      <c r="C737" s="24"/>
    </row>
    <row r="738" ht="15.75" customHeight="1">
      <c r="A738" s="11"/>
      <c r="B738" s="18"/>
      <c r="C738" s="24"/>
    </row>
    <row r="739" ht="15.75" customHeight="1">
      <c r="A739" s="11"/>
      <c r="B739" s="18"/>
      <c r="C739" s="24"/>
    </row>
    <row r="740" ht="15.75" customHeight="1">
      <c r="A740" s="11"/>
      <c r="B740" s="18"/>
      <c r="C740" s="24"/>
    </row>
    <row r="741" ht="15.75" customHeight="1">
      <c r="A741" s="11"/>
      <c r="B741" s="18"/>
      <c r="C741" s="24"/>
    </row>
    <row r="742" ht="15.75" customHeight="1">
      <c r="A742" s="11"/>
      <c r="B742" s="18"/>
      <c r="C742" s="24"/>
    </row>
    <row r="743" ht="15.75" customHeight="1">
      <c r="A743" s="11"/>
      <c r="B743" s="18"/>
      <c r="C743" s="24"/>
    </row>
    <row r="744" ht="15.75" customHeight="1">
      <c r="A744" s="11"/>
      <c r="B744" s="18"/>
      <c r="C744" s="24"/>
    </row>
    <row r="745" ht="15.75" customHeight="1">
      <c r="A745" s="11"/>
      <c r="B745" s="18"/>
      <c r="C745" s="24"/>
    </row>
    <row r="746" ht="15.75" customHeight="1">
      <c r="A746" s="11"/>
      <c r="B746" s="18"/>
      <c r="C746" s="24"/>
    </row>
    <row r="747" ht="15.75" customHeight="1">
      <c r="A747" s="11"/>
      <c r="B747" s="18"/>
      <c r="C747" s="24"/>
    </row>
    <row r="748" ht="15.75" customHeight="1">
      <c r="A748" s="11"/>
      <c r="B748" s="18"/>
      <c r="C748" s="24"/>
    </row>
    <row r="749" ht="15.75" customHeight="1">
      <c r="A749" s="11"/>
      <c r="B749" s="18"/>
      <c r="C749" s="24"/>
    </row>
    <row r="750" ht="15.75" customHeight="1">
      <c r="A750" s="11"/>
      <c r="B750" s="18"/>
      <c r="C750" s="24"/>
    </row>
    <row r="751" ht="15.75" customHeight="1">
      <c r="A751" s="11"/>
      <c r="B751" s="18"/>
      <c r="C751" s="24"/>
    </row>
    <row r="752" ht="15.75" customHeight="1">
      <c r="A752" s="11"/>
      <c r="B752" s="18"/>
      <c r="C752" s="24"/>
    </row>
    <row r="753" ht="15.75" customHeight="1">
      <c r="A753" s="11"/>
      <c r="B753" s="18"/>
      <c r="C753" s="24"/>
    </row>
    <row r="754" ht="15.75" customHeight="1">
      <c r="A754" s="11"/>
      <c r="B754" s="18"/>
      <c r="C754" s="24"/>
    </row>
    <row r="755" ht="15.75" customHeight="1">
      <c r="A755" s="11"/>
      <c r="B755" s="18"/>
      <c r="C755" s="24"/>
    </row>
    <row r="756" ht="15.75" customHeight="1">
      <c r="A756" s="11"/>
      <c r="B756" s="18"/>
      <c r="C756" s="24"/>
    </row>
    <row r="757" ht="15.75" customHeight="1">
      <c r="A757" s="11"/>
      <c r="B757" s="18"/>
      <c r="C757" s="24"/>
    </row>
    <row r="758" ht="15.75" customHeight="1">
      <c r="A758" s="11"/>
      <c r="B758" s="18"/>
      <c r="C758" s="24"/>
    </row>
    <row r="759" ht="15.75" customHeight="1">
      <c r="A759" s="11"/>
      <c r="B759" s="18"/>
      <c r="C759" s="24"/>
    </row>
    <row r="760" ht="15.75" customHeight="1">
      <c r="A760" s="11"/>
      <c r="B760" s="18"/>
      <c r="C760" s="24"/>
    </row>
    <row r="761" ht="15.75" customHeight="1">
      <c r="A761" s="11"/>
      <c r="B761" s="18"/>
      <c r="C761" s="24"/>
    </row>
    <row r="762" ht="15.75" customHeight="1">
      <c r="A762" s="11"/>
      <c r="B762" s="18"/>
      <c r="C762" s="24"/>
    </row>
    <row r="763" ht="15.75" customHeight="1">
      <c r="A763" s="11"/>
      <c r="B763" s="18"/>
      <c r="C763" s="24"/>
    </row>
    <row r="764" ht="15.75" customHeight="1">
      <c r="A764" s="11"/>
      <c r="B764" s="18"/>
      <c r="C764" s="24"/>
    </row>
    <row r="765" ht="15.75" customHeight="1">
      <c r="A765" s="11"/>
      <c r="B765" s="18"/>
      <c r="C765" s="24"/>
    </row>
    <row r="766" ht="15.75" customHeight="1">
      <c r="A766" s="11"/>
      <c r="B766" s="18"/>
      <c r="C766" s="24"/>
    </row>
    <row r="767" ht="15.75" customHeight="1">
      <c r="A767" s="11"/>
      <c r="B767" s="18"/>
      <c r="C767" s="24"/>
    </row>
    <row r="768" ht="15.75" customHeight="1">
      <c r="A768" s="11"/>
      <c r="B768" s="18"/>
      <c r="C768" s="24"/>
    </row>
    <row r="769" ht="15.75" customHeight="1">
      <c r="A769" s="11"/>
      <c r="B769" s="18"/>
      <c r="C769" s="24"/>
    </row>
    <row r="770" ht="15.75" customHeight="1">
      <c r="A770" s="11"/>
      <c r="B770" s="18"/>
      <c r="C770" s="24"/>
    </row>
    <row r="771" ht="15.75" customHeight="1">
      <c r="A771" s="11"/>
      <c r="B771" s="18"/>
      <c r="C771" s="24"/>
    </row>
    <row r="772" ht="15.75" customHeight="1">
      <c r="A772" s="11"/>
      <c r="B772" s="18"/>
      <c r="C772" s="24"/>
    </row>
    <row r="773" ht="15.75" customHeight="1">
      <c r="A773" s="11"/>
      <c r="B773" s="18"/>
      <c r="C773" s="24"/>
    </row>
    <row r="774" ht="15.75" customHeight="1">
      <c r="A774" s="11"/>
      <c r="B774" s="18"/>
      <c r="C774" s="24"/>
    </row>
    <row r="775" ht="15.75" customHeight="1">
      <c r="A775" s="11"/>
      <c r="B775" s="18"/>
      <c r="C775" s="24"/>
    </row>
    <row r="776" ht="15.75" customHeight="1">
      <c r="A776" s="11"/>
      <c r="B776" s="18"/>
      <c r="C776" s="24"/>
    </row>
    <row r="777" ht="15.75" customHeight="1">
      <c r="A777" s="11"/>
      <c r="B777" s="18"/>
      <c r="C777" s="24"/>
    </row>
    <row r="778" ht="15.75" customHeight="1">
      <c r="A778" s="11"/>
      <c r="B778" s="18"/>
      <c r="C778" s="24"/>
    </row>
    <row r="779" ht="15.75" customHeight="1">
      <c r="A779" s="11"/>
      <c r="B779" s="18"/>
      <c r="C779" s="24"/>
    </row>
    <row r="780" ht="15.75" customHeight="1">
      <c r="A780" s="11"/>
      <c r="B780" s="18"/>
      <c r="C780" s="24"/>
    </row>
    <row r="781" ht="15.75" customHeight="1">
      <c r="A781" s="11"/>
      <c r="B781" s="18"/>
      <c r="C781" s="24"/>
    </row>
    <row r="782" ht="15.75" customHeight="1">
      <c r="A782" s="11"/>
      <c r="B782" s="18"/>
      <c r="C782" s="24"/>
    </row>
    <row r="783" ht="15.75" customHeight="1">
      <c r="A783" s="11"/>
      <c r="B783" s="18"/>
      <c r="C783" s="24"/>
    </row>
    <row r="784" ht="15.75" customHeight="1">
      <c r="A784" s="11"/>
      <c r="B784" s="18"/>
      <c r="C784" s="24"/>
    </row>
    <row r="785" ht="15.75" customHeight="1">
      <c r="A785" s="11"/>
      <c r="B785" s="18"/>
      <c r="C785" s="24"/>
    </row>
    <row r="786" ht="15.75" customHeight="1">
      <c r="A786" s="11"/>
      <c r="B786" s="18"/>
      <c r="C786" s="24"/>
    </row>
    <row r="787" ht="15.75" customHeight="1">
      <c r="A787" s="11"/>
      <c r="B787" s="18"/>
      <c r="C787" s="24"/>
    </row>
    <row r="788" ht="15.75" customHeight="1">
      <c r="A788" s="11"/>
      <c r="B788" s="18"/>
      <c r="C788" s="24"/>
    </row>
    <row r="789" ht="15.75" customHeight="1">
      <c r="A789" s="11"/>
      <c r="B789" s="18"/>
      <c r="C789" s="24"/>
    </row>
    <row r="790" ht="15.75" customHeight="1">
      <c r="A790" s="11"/>
      <c r="B790" s="18"/>
      <c r="C790" s="24"/>
    </row>
    <row r="791" ht="15.75" customHeight="1">
      <c r="A791" s="11"/>
      <c r="B791" s="18"/>
      <c r="C791" s="24"/>
    </row>
    <row r="792" ht="15.75" customHeight="1">
      <c r="A792" s="11"/>
      <c r="B792" s="18"/>
      <c r="C792" s="24"/>
    </row>
    <row r="793" ht="15.75" customHeight="1">
      <c r="A793" s="11"/>
      <c r="B793" s="18"/>
      <c r="C793" s="24"/>
    </row>
    <row r="794" ht="15.75" customHeight="1">
      <c r="A794" s="11"/>
      <c r="B794" s="18"/>
      <c r="C794" s="24"/>
    </row>
    <row r="795" ht="15.75" customHeight="1">
      <c r="A795" s="11"/>
      <c r="B795" s="18"/>
      <c r="C795" s="24"/>
    </row>
    <row r="796" ht="15.75" customHeight="1">
      <c r="A796" s="11"/>
      <c r="B796" s="18"/>
      <c r="C796" s="24"/>
    </row>
    <row r="797" ht="15.75" customHeight="1">
      <c r="A797" s="11"/>
      <c r="B797" s="18"/>
      <c r="C797" s="24"/>
    </row>
    <row r="798" ht="15.75" customHeight="1">
      <c r="A798" s="11"/>
      <c r="B798" s="18"/>
      <c r="C798" s="24"/>
    </row>
    <row r="799" ht="15.75" customHeight="1">
      <c r="A799" s="11"/>
      <c r="B799" s="18"/>
      <c r="C799" s="24"/>
    </row>
    <row r="800" ht="15.75" customHeight="1">
      <c r="A800" s="11"/>
      <c r="B800" s="18"/>
      <c r="C800" s="24"/>
    </row>
    <row r="801" ht="15.75" customHeight="1">
      <c r="A801" s="11"/>
      <c r="B801" s="18"/>
      <c r="C801" s="24"/>
    </row>
    <row r="802" ht="15.75" customHeight="1">
      <c r="A802" s="11"/>
      <c r="B802" s="18"/>
      <c r="C802" s="24"/>
    </row>
    <row r="803" ht="15.75" customHeight="1">
      <c r="A803" s="11"/>
      <c r="B803" s="18"/>
      <c r="C803" s="24"/>
    </row>
    <row r="804" ht="15.75" customHeight="1">
      <c r="A804" s="11"/>
      <c r="B804" s="18"/>
      <c r="C804" s="24"/>
    </row>
    <row r="805" ht="15.75" customHeight="1">
      <c r="A805" s="11"/>
      <c r="B805" s="18"/>
      <c r="C805" s="24"/>
    </row>
    <row r="806" ht="15.75" customHeight="1">
      <c r="A806" s="11"/>
      <c r="B806" s="18"/>
      <c r="C806" s="24"/>
    </row>
    <row r="807" ht="15.75" customHeight="1">
      <c r="A807" s="11"/>
      <c r="B807" s="18"/>
      <c r="C807" s="24"/>
    </row>
    <row r="808" ht="15.75" customHeight="1">
      <c r="A808" s="11"/>
      <c r="B808" s="18"/>
      <c r="C808" s="24"/>
    </row>
    <row r="809" ht="15.75" customHeight="1">
      <c r="A809" s="11"/>
      <c r="B809" s="18"/>
      <c r="C809" s="24"/>
    </row>
    <row r="810" ht="15.75" customHeight="1">
      <c r="A810" s="11"/>
      <c r="B810" s="18"/>
      <c r="C810" s="24"/>
    </row>
    <row r="811" ht="15.75" customHeight="1">
      <c r="A811" s="11"/>
      <c r="B811" s="18"/>
      <c r="C811" s="24"/>
    </row>
    <row r="812" ht="15.75" customHeight="1">
      <c r="A812" s="11"/>
      <c r="B812" s="18"/>
      <c r="C812" s="24"/>
    </row>
    <row r="813" ht="15.75" customHeight="1">
      <c r="A813" s="11"/>
      <c r="B813" s="18"/>
      <c r="C813" s="24"/>
    </row>
    <row r="814" ht="15.75" customHeight="1">
      <c r="A814" s="11"/>
      <c r="B814" s="18"/>
      <c r="C814" s="24"/>
    </row>
    <row r="815" ht="15.75" customHeight="1">
      <c r="A815" s="11"/>
      <c r="B815" s="18"/>
      <c r="C815" s="24"/>
    </row>
    <row r="816" ht="15.75" customHeight="1">
      <c r="A816" s="11"/>
      <c r="B816" s="18"/>
      <c r="C816" s="24"/>
    </row>
    <row r="817" ht="15.75" customHeight="1">
      <c r="A817" s="11"/>
      <c r="B817" s="18"/>
      <c r="C817" s="24"/>
    </row>
    <row r="818" ht="15.75" customHeight="1">
      <c r="A818" s="11"/>
      <c r="B818" s="18"/>
      <c r="C818" s="24"/>
    </row>
    <row r="819" ht="15.75" customHeight="1">
      <c r="A819" s="11"/>
      <c r="B819" s="18"/>
      <c r="C819" s="24"/>
    </row>
    <row r="820" ht="15.75" customHeight="1">
      <c r="A820" s="11"/>
      <c r="B820" s="18"/>
      <c r="C820" s="24"/>
    </row>
    <row r="821" ht="15.75" customHeight="1">
      <c r="A821" s="11"/>
      <c r="B821" s="18"/>
      <c r="C821" s="24"/>
    </row>
    <row r="822" ht="15.75" customHeight="1">
      <c r="A822" s="11"/>
      <c r="B822" s="18"/>
      <c r="C822" s="24"/>
    </row>
    <row r="823" ht="15.75" customHeight="1">
      <c r="A823" s="11"/>
      <c r="B823" s="18"/>
      <c r="C823" s="24"/>
    </row>
    <row r="824" ht="15.75" customHeight="1">
      <c r="A824" s="11"/>
      <c r="B824" s="18"/>
      <c r="C824" s="24"/>
    </row>
    <row r="825" ht="15.75" customHeight="1">
      <c r="A825" s="11"/>
      <c r="B825" s="18"/>
      <c r="C825" s="24"/>
    </row>
    <row r="826" ht="15.75" customHeight="1">
      <c r="A826" s="11"/>
      <c r="B826" s="18"/>
      <c r="C826" s="24"/>
    </row>
    <row r="827" ht="15.75" customHeight="1">
      <c r="A827" s="11"/>
      <c r="B827" s="18"/>
      <c r="C827" s="24"/>
    </row>
    <row r="828" ht="15.75" customHeight="1">
      <c r="A828" s="11"/>
      <c r="B828" s="18"/>
      <c r="C828" s="24"/>
    </row>
    <row r="829" ht="15.75" customHeight="1">
      <c r="A829" s="11"/>
      <c r="B829" s="18"/>
      <c r="C829" s="24"/>
    </row>
    <row r="830" ht="15.75" customHeight="1">
      <c r="A830" s="11"/>
      <c r="B830" s="18"/>
      <c r="C830" s="24"/>
    </row>
    <row r="831" ht="15.75" customHeight="1">
      <c r="A831" s="11"/>
      <c r="B831" s="18"/>
      <c r="C831" s="24"/>
    </row>
    <row r="832" ht="15.75" customHeight="1">
      <c r="A832" s="11"/>
      <c r="B832" s="18"/>
      <c r="C832" s="24"/>
    </row>
    <row r="833" ht="15.75" customHeight="1">
      <c r="A833" s="11"/>
      <c r="B833" s="18"/>
      <c r="C833" s="24"/>
    </row>
    <row r="834" ht="15.75" customHeight="1">
      <c r="A834" s="11"/>
      <c r="B834" s="18"/>
      <c r="C834" s="24"/>
    </row>
    <row r="835" ht="15.75" customHeight="1">
      <c r="A835" s="11"/>
      <c r="B835" s="18"/>
      <c r="C835" s="24"/>
    </row>
    <row r="836" ht="15.75" customHeight="1">
      <c r="A836" s="11"/>
      <c r="B836" s="18"/>
      <c r="C836" s="24"/>
    </row>
    <row r="837" ht="15.75" customHeight="1">
      <c r="A837" s="11"/>
      <c r="B837" s="18"/>
      <c r="C837" s="24"/>
    </row>
    <row r="838" ht="15.75" customHeight="1">
      <c r="A838" s="11"/>
      <c r="B838" s="18"/>
      <c r="C838" s="24"/>
    </row>
    <row r="839" ht="15.75" customHeight="1">
      <c r="A839" s="11"/>
      <c r="B839" s="18"/>
      <c r="C839" s="24"/>
    </row>
    <row r="840" ht="15.75" customHeight="1">
      <c r="A840" s="11"/>
      <c r="B840" s="18"/>
      <c r="C840" s="24"/>
    </row>
    <row r="841" ht="15.75" customHeight="1">
      <c r="A841" s="11"/>
      <c r="B841" s="18"/>
      <c r="C841" s="24"/>
    </row>
    <row r="842" ht="15.75" customHeight="1">
      <c r="A842" s="11"/>
      <c r="B842" s="18"/>
      <c r="C842" s="24"/>
    </row>
    <row r="843" ht="15.75" customHeight="1">
      <c r="A843" s="11"/>
      <c r="B843" s="18"/>
      <c r="C843" s="24"/>
    </row>
    <row r="844" ht="15.75" customHeight="1">
      <c r="A844" s="11"/>
      <c r="B844" s="18"/>
      <c r="C844" s="24"/>
    </row>
    <row r="845" ht="15.75" customHeight="1">
      <c r="A845" s="11"/>
      <c r="B845" s="18"/>
      <c r="C845" s="24"/>
    </row>
    <row r="846" ht="15.75" customHeight="1">
      <c r="A846" s="11"/>
      <c r="B846" s="18"/>
      <c r="C846" s="24"/>
    </row>
    <row r="847" ht="15.75" customHeight="1">
      <c r="A847" s="11"/>
      <c r="B847" s="18"/>
      <c r="C847" s="24"/>
    </row>
    <row r="848" ht="15.75" customHeight="1">
      <c r="A848" s="11"/>
      <c r="B848" s="18"/>
      <c r="C848" s="24"/>
    </row>
    <row r="849" ht="15.75" customHeight="1">
      <c r="A849" s="11"/>
      <c r="B849" s="18"/>
      <c r="C849" s="24"/>
    </row>
    <row r="850" ht="15.75" customHeight="1">
      <c r="A850" s="11"/>
      <c r="B850" s="18"/>
      <c r="C850" s="24"/>
    </row>
    <row r="851" ht="15.75" customHeight="1">
      <c r="A851" s="11"/>
      <c r="B851" s="18"/>
      <c r="C851" s="24"/>
    </row>
    <row r="852" ht="15.75" customHeight="1">
      <c r="A852" s="11"/>
      <c r="B852" s="18"/>
      <c r="C852" s="24"/>
    </row>
    <row r="853" ht="15.75" customHeight="1">
      <c r="A853" s="11"/>
      <c r="B853" s="18"/>
      <c r="C853" s="24"/>
    </row>
    <row r="854" ht="15.75" customHeight="1">
      <c r="A854" s="11"/>
      <c r="B854" s="18"/>
      <c r="C854" s="24"/>
    </row>
    <row r="855" ht="15.75" customHeight="1">
      <c r="A855" s="11"/>
      <c r="B855" s="18"/>
      <c r="C855" s="24"/>
    </row>
    <row r="856" ht="15.75" customHeight="1">
      <c r="A856" s="11"/>
      <c r="B856" s="18"/>
      <c r="C856" s="24"/>
    </row>
    <row r="857" ht="15.75" customHeight="1">
      <c r="A857" s="11"/>
      <c r="B857" s="18"/>
      <c r="C857" s="24"/>
    </row>
    <row r="858" ht="15.75" customHeight="1">
      <c r="A858" s="11"/>
      <c r="B858" s="18"/>
      <c r="C858" s="24"/>
    </row>
    <row r="859" ht="15.75" customHeight="1">
      <c r="A859" s="11"/>
      <c r="B859" s="18"/>
      <c r="C859" s="24"/>
    </row>
    <row r="860" ht="15.75" customHeight="1">
      <c r="A860" s="11"/>
      <c r="B860" s="18"/>
      <c r="C860" s="24"/>
    </row>
    <row r="861" ht="15.75" customHeight="1">
      <c r="A861" s="11"/>
      <c r="B861" s="18"/>
      <c r="C861" s="24"/>
    </row>
    <row r="862" ht="15.75" customHeight="1">
      <c r="A862" s="11"/>
      <c r="B862" s="18"/>
      <c r="C862" s="24"/>
    </row>
    <row r="863" ht="15.75" customHeight="1">
      <c r="A863" s="11"/>
      <c r="B863" s="18"/>
      <c r="C863" s="24"/>
    </row>
    <row r="864" ht="15.75" customHeight="1">
      <c r="A864" s="11"/>
      <c r="B864" s="18"/>
      <c r="C864" s="24"/>
    </row>
    <row r="865" ht="15.75" customHeight="1">
      <c r="A865" s="11"/>
      <c r="B865" s="18"/>
      <c r="C865" s="24"/>
    </row>
    <row r="866" ht="15.75" customHeight="1">
      <c r="A866" s="11"/>
      <c r="B866" s="18"/>
      <c r="C866" s="24"/>
    </row>
    <row r="867" ht="15.75" customHeight="1">
      <c r="A867" s="11"/>
      <c r="B867" s="18"/>
      <c r="C867" s="24"/>
    </row>
    <row r="868" ht="15.75" customHeight="1">
      <c r="A868" s="11"/>
      <c r="B868" s="18"/>
      <c r="C868" s="24"/>
    </row>
    <row r="869" ht="15.75" customHeight="1">
      <c r="A869" s="11"/>
      <c r="B869" s="18"/>
      <c r="C869" s="24"/>
    </row>
    <row r="870" ht="15.75" customHeight="1">
      <c r="A870" s="11"/>
      <c r="B870" s="18"/>
      <c r="C870" s="24"/>
    </row>
    <row r="871" ht="15.75" customHeight="1">
      <c r="A871" s="11"/>
      <c r="B871" s="18"/>
      <c r="C871" s="24"/>
    </row>
    <row r="872" ht="15.75" customHeight="1">
      <c r="A872" s="11"/>
      <c r="B872" s="18"/>
      <c r="C872" s="24"/>
    </row>
    <row r="873" ht="15.75" customHeight="1">
      <c r="A873" s="11"/>
      <c r="B873" s="18"/>
      <c r="C873" s="24"/>
    </row>
    <row r="874" ht="15.75" customHeight="1">
      <c r="A874" s="11"/>
      <c r="B874" s="18"/>
      <c r="C874" s="24"/>
    </row>
    <row r="875" ht="15.75" customHeight="1">
      <c r="A875" s="11"/>
      <c r="B875" s="18"/>
      <c r="C875" s="24"/>
    </row>
    <row r="876" ht="15.75" customHeight="1">
      <c r="A876" s="11"/>
      <c r="B876" s="18"/>
      <c r="C876" s="24"/>
    </row>
    <row r="877" ht="15.75" customHeight="1">
      <c r="A877" s="11"/>
      <c r="B877" s="18"/>
      <c r="C877" s="24"/>
    </row>
    <row r="878" ht="15.75" customHeight="1">
      <c r="A878" s="11"/>
      <c r="B878" s="18"/>
      <c r="C878" s="24"/>
    </row>
    <row r="879" ht="15.75" customHeight="1">
      <c r="A879" s="11"/>
      <c r="B879" s="18"/>
      <c r="C879" s="24"/>
    </row>
    <row r="880" ht="15.75" customHeight="1">
      <c r="A880" s="11"/>
      <c r="B880" s="18"/>
      <c r="C880" s="24"/>
    </row>
    <row r="881" ht="15.75" customHeight="1">
      <c r="A881" s="11"/>
      <c r="B881" s="18"/>
      <c r="C881" s="24"/>
    </row>
    <row r="882" ht="15.75" customHeight="1">
      <c r="A882" s="11"/>
      <c r="B882" s="18"/>
      <c r="C882" s="24"/>
    </row>
    <row r="883" ht="15.75" customHeight="1">
      <c r="A883" s="11"/>
      <c r="B883" s="18"/>
      <c r="C883" s="24"/>
    </row>
    <row r="884" ht="15.75" customHeight="1">
      <c r="A884" s="11"/>
      <c r="B884" s="18"/>
      <c r="C884" s="24"/>
    </row>
    <row r="885" ht="15.75" customHeight="1">
      <c r="A885" s="11"/>
      <c r="B885" s="18"/>
      <c r="C885" s="24"/>
    </row>
    <row r="886" ht="15.75" customHeight="1">
      <c r="A886" s="11"/>
      <c r="B886" s="18"/>
      <c r="C886" s="24"/>
    </row>
    <row r="887" ht="15.75" customHeight="1">
      <c r="A887" s="11"/>
      <c r="B887" s="18"/>
      <c r="C887" s="24"/>
    </row>
    <row r="888" ht="15.75" customHeight="1">
      <c r="A888" s="11"/>
      <c r="B888" s="18"/>
      <c r="C888" s="24"/>
    </row>
    <row r="889" ht="15.75" customHeight="1">
      <c r="A889" s="11"/>
      <c r="B889" s="18"/>
      <c r="C889" s="24"/>
    </row>
    <row r="890" ht="15.75" customHeight="1">
      <c r="A890" s="11"/>
      <c r="B890" s="18"/>
      <c r="C890" s="24"/>
    </row>
    <row r="891" ht="15.75" customHeight="1">
      <c r="A891" s="11"/>
      <c r="B891" s="18"/>
      <c r="C891" s="24"/>
    </row>
    <row r="892" ht="15.75" customHeight="1">
      <c r="A892" s="11"/>
      <c r="B892" s="18"/>
      <c r="C892" s="24"/>
    </row>
    <row r="893" ht="15.75" customHeight="1">
      <c r="A893" s="11"/>
      <c r="B893" s="18"/>
      <c r="C893" s="24"/>
    </row>
    <row r="894" ht="15.75" customHeight="1">
      <c r="A894" s="11"/>
      <c r="B894" s="18"/>
      <c r="C894" s="24"/>
    </row>
    <row r="895" ht="15.75" customHeight="1">
      <c r="A895" s="11"/>
      <c r="B895" s="18"/>
      <c r="C895" s="24"/>
    </row>
    <row r="896" ht="15.75" customHeight="1">
      <c r="A896" s="11"/>
      <c r="B896" s="18"/>
      <c r="C896" s="24"/>
    </row>
    <row r="897" ht="15.75" customHeight="1">
      <c r="A897" s="11"/>
      <c r="B897" s="18"/>
      <c r="C897" s="24"/>
    </row>
    <row r="898" ht="15.75" customHeight="1">
      <c r="A898" s="11"/>
      <c r="B898" s="18"/>
      <c r="C898" s="24"/>
    </row>
    <row r="899" ht="15.75" customHeight="1">
      <c r="A899" s="11"/>
      <c r="B899" s="18"/>
      <c r="C899" s="24"/>
    </row>
    <row r="900" ht="15.75" customHeight="1">
      <c r="A900" s="11"/>
      <c r="B900" s="18"/>
      <c r="C900" s="24"/>
    </row>
    <row r="901" ht="15.75" customHeight="1">
      <c r="A901" s="11"/>
      <c r="B901" s="18"/>
      <c r="C901" s="24"/>
    </row>
    <row r="902" ht="15.75" customHeight="1">
      <c r="A902" s="11"/>
      <c r="B902" s="18"/>
      <c r="C902" s="24"/>
    </row>
    <row r="903" ht="15.75" customHeight="1">
      <c r="A903" s="11"/>
      <c r="B903" s="18"/>
      <c r="C903" s="24"/>
    </row>
    <row r="904" ht="15.75" customHeight="1">
      <c r="A904" s="11"/>
      <c r="B904" s="18"/>
      <c r="C904" s="24"/>
    </row>
    <row r="905" ht="15.75" customHeight="1">
      <c r="A905" s="11"/>
      <c r="B905" s="18"/>
      <c r="C905" s="24"/>
    </row>
    <row r="906" ht="15.75" customHeight="1">
      <c r="A906" s="11"/>
      <c r="B906" s="18"/>
      <c r="C906" s="24"/>
    </row>
    <row r="907" ht="15.75" customHeight="1">
      <c r="A907" s="11"/>
      <c r="B907" s="18"/>
      <c r="C907" s="24"/>
    </row>
    <row r="908" ht="15.75" customHeight="1">
      <c r="A908" s="11"/>
      <c r="B908" s="18"/>
      <c r="C908" s="24"/>
    </row>
    <row r="909" ht="15.75" customHeight="1">
      <c r="A909" s="11"/>
      <c r="B909" s="18"/>
      <c r="C909" s="24"/>
    </row>
    <row r="910" ht="15.75" customHeight="1">
      <c r="A910" s="11"/>
      <c r="B910" s="18"/>
      <c r="C910" s="24"/>
    </row>
    <row r="911" ht="15.75" customHeight="1">
      <c r="A911" s="11"/>
      <c r="B911" s="18"/>
      <c r="C911" s="24"/>
    </row>
    <row r="912" ht="15.75" customHeight="1">
      <c r="A912" s="11"/>
      <c r="B912" s="18"/>
      <c r="C912" s="24"/>
    </row>
    <row r="913" ht="15.75" customHeight="1">
      <c r="A913" s="11"/>
      <c r="B913" s="18"/>
      <c r="C913" s="24"/>
    </row>
    <row r="914" ht="15.75" customHeight="1">
      <c r="A914" s="11"/>
      <c r="B914" s="18"/>
      <c r="C914" s="24"/>
    </row>
    <row r="915" ht="15.75" customHeight="1">
      <c r="A915" s="11"/>
      <c r="B915" s="18"/>
      <c r="C915" s="24"/>
    </row>
    <row r="916" ht="15.75" customHeight="1">
      <c r="A916" s="11"/>
      <c r="B916" s="18"/>
      <c r="C916" s="24"/>
    </row>
    <row r="917" ht="15.75" customHeight="1">
      <c r="A917" s="11"/>
      <c r="B917" s="18"/>
      <c r="C917" s="24"/>
    </row>
    <row r="918" ht="15.75" customHeight="1">
      <c r="A918" s="11"/>
      <c r="B918" s="18"/>
      <c r="C918" s="24"/>
    </row>
    <row r="919" ht="15.75" customHeight="1">
      <c r="A919" s="11"/>
      <c r="B919" s="18"/>
      <c r="C919" s="24"/>
    </row>
    <row r="920" ht="15.75" customHeight="1">
      <c r="A920" s="11"/>
      <c r="B920" s="18"/>
      <c r="C920" s="24"/>
    </row>
    <row r="921" ht="15.75" customHeight="1">
      <c r="A921" s="11"/>
      <c r="B921" s="18"/>
      <c r="C921" s="24"/>
    </row>
    <row r="922" ht="15.75" customHeight="1">
      <c r="A922" s="11"/>
      <c r="B922" s="18"/>
      <c r="C922" s="24"/>
    </row>
    <row r="923" ht="15.75" customHeight="1">
      <c r="A923" s="11"/>
      <c r="B923" s="18"/>
      <c r="C923" s="24"/>
    </row>
    <row r="924" ht="15.75" customHeight="1">
      <c r="A924" s="11"/>
      <c r="B924" s="18"/>
      <c r="C924" s="24"/>
    </row>
    <row r="925" ht="15.75" customHeight="1">
      <c r="A925" s="11"/>
      <c r="B925" s="18"/>
      <c r="C925" s="24"/>
    </row>
    <row r="926" ht="15.75" customHeight="1">
      <c r="A926" s="11"/>
      <c r="B926" s="18"/>
      <c r="C926" s="24"/>
    </row>
    <row r="927" ht="15.75" customHeight="1">
      <c r="A927" s="11"/>
      <c r="B927" s="18"/>
      <c r="C927" s="24"/>
    </row>
    <row r="928" ht="15.75" customHeight="1">
      <c r="A928" s="11"/>
      <c r="B928" s="18"/>
      <c r="C928" s="24"/>
    </row>
    <row r="929" ht="15.75" customHeight="1">
      <c r="A929" s="11"/>
      <c r="B929" s="18"/>
      <c r="C929" s="24"/>
    </row>
    <row r="930" ht="15.75" customHeight="1">
      <c r="A930" s="11"/>
      <c r="B930" s="18"/>
      <c r="C930" s="24"/>
    </row>
    <row r="931" ht="15.75" customHeight="1">
      <c r="A931" s="11"/>
      <c r="B931" s="18"/>
      <c r="C931" s="24"/>
    </row>
    <row r="932" ht="15.75" customHeight="1">
      <c r="A932" s="11"/>
      <c r="B932" s="18"/>
      <c r="C932" s="24"/>
    </row>
    <row r="933" ht="15.75" customHeight="1">
      <c r="A933" s="11"/>
      <c r="B933" s="18"/>
      <c r="C933" s="24"/>
    </row>
    <row r="934" ht="15.75" customHeight="1">
      <c r="A934" s="11"/>
      <c r="B934" s="18"/>
      <c r="C934" s="24"/>
    </row>
    <row r="935" ht="15.75" customHeight="1">
      <c r="A935" s="11"/>
      <c r="B935" s="18"/>
      <c r="C935" s="24"/>
    </row>
    <row r="936" ht="15.75" customHeight="1">
      <c r="A936" s="11"/>
      <c r="B936" s="18"/>
      <c r="C936" s="24"/>
    </row>
    <row r="937" ht="15.75" customHeight="1">
      <c r="A937" s="11"/>
      <c r="B937" s="18"/>
      <c r="C937" s="24"/>
    </row>
    <row r="938" ht="15.75" customHeight="1">
      <c r="A938" s="11"/>
      <c r="B938" s="18"/>
      <c r="C938" s="24"/>
    </row>
    <row r="939" ht="15.75" customHeight="1">
      <c r="A939" s="11"/>
      <c r="B939" s="18"/>
      <c r="C939" s="24"/>
    </row>
    <row r="940" ht="15.75" customHeight="1">
      <c r="A940" s="11"/>
      <c r="B940" s="18"/>
      <c r="C940" s="24"/>
    </row>
    <row r="941" ht="15.75" customHeight="1">
      <c r="A941" s="11"/>
      <c r="B941" s="18"/>
      <c r="C941" s="24"/>
    </row>
    <row r="942" ht="15.75" customHeight="1">
      <c r="A942" s="11"/>
      <c r="B942" s="18"/>
      <c r="C942" s="24"/>
    </row>
    <row r="943" ht="15.75" customHeight="1">
      <c r="A943" s="11"/>
      <c r="B943" s="18"/>
      <c r="C943" s="24"/>
    </row>
    <row r="944" ht="15.75" customHeight="1">
      <c r="A944" s="11"/>
      <c r="B944" s="18"/>
      <c r="C944" s="24"/>
    </row>
    <row r="945" ht="15.75" customHeight="1">
      <c r="A945" s="11"/>
      <c r="B945" s="18"/>
      <c r="C945" s="24"/>
    </row>
    <row r="946" ht="15.75" customHeight="1">
      <c r="A946" s="11"/>
      <c r="B946" s="18"/>
      <c r="C946" s="24"/>
    </row>
    <row r="947" ht="15.75" customHeight="1">
      <c r="A947" s="11"/>
      <c r="B947" s="18"/>
      <c r="C947" s="24"/>
    </row>
    <row r="948" ht="15.75" customHeight="1">
      <c r="A948" s="11"/>
      <c r="B948" s="18"/>
      <c r="C948" s="24"/>
    </row>
    <row r="949" ht="15.75" customHeight="1">
      <c r="A949" s="11"/>
      <c r="B949" s="18"/>
      <c r="C949" s="24"/>
    </row>
    <row r="950" ht="15.75" customHeight="1">
      <c r="A950" s="11"/>
      <c r="B950" s="18"/>
      <c r="C950" s="24"/>
    </row>
    <row r="951" ht="15.75" customHeight="1">
      <c r="A951" s="11"/>
      <c r="B951" s="18"/>
      <c r="C951" s="24"/>
    </row>
    <row r="952" ht="15.75" customHeight="1">
      <c r="A952" s="11"/>
      <c r="B952" s="18"/>
      <c r="C952" s="24"/>
    </row>
    <row r="953" ht="15.75" customHeight="1">
      <c r="A953" s="11"/>
      <c r="B953" s="18"/>
      <c r="C953" s="24"/>
    </row>
    <row r="954" ht="15.75" customHeight="1">
      <c r="A954" s="11"/>
      <c r="B954" s="18"/>
      <c r="C954" s="24"/>
    </row>
    <row r="955" ht="15.75" customHeight="1">
      <c r="A955" s="11"/>
      <c r="B955" s="18"/>
      <c r="C955" s="24"/>
    </row>
    <row r="956" ht="15.75" customHeight="1">
      <c r="A956" s="11"/>
      <c r="B956" s="18"/>
      <c r="C956" s="24"/>
    </row>
    <row r="957" ht="15.75" customHeight="1">
      <c r="A957" s="11"/>
      <c r="B957" s="18"/>
      <c r="C957" s="24"/>
    </row>
    <row r="958" ht="15.75" customHeight="1">
      <c r="A958" s="11"/>
      <c r="B958" s="18"/>
      <c r="C958" s="24"/>
    </row>
    <row r="959" ht="15.75" customHeight="1">
      <c r="A959" s="11"/>
      <c r="B959" s="18"/>
      <c r="C959" s="24"/>
    </row>
    <row r="960" ht="15.75" customHeight="1">
      <c r="A960" s="11"/>
      <c r="B960" s="18"/>
      <c r="C960" s="24"/>
    </row>
    <row r="961" ht="15.75" customHeight="1">
      <c r="A961" s="11"/>
      <c r="B961" s="18"/>
      <c r="C961" s="24"/>
    </row>
    <row r="962" ht="15.75" customHeight="1">
      <c r="A962" s="11"/>
      <c r="B962" s="18"/>
      <c r="C962" s="24"/>
    </row>
    <row r="963" ht="15.75" customHeight="1">
      <c r="A963" s="11"/>
      <c r="B963" s="18"/>
      <c r="C963" s="24"/>
    </row>
    <row r="964" ht="15.75" customHeight="1">
      <c r="A964" s="11"/>
      <c r="B964" s="18"/>
      <c r="C964" s="24"/>
    </row>
    <row r="965" ht="15.75" customHeight="1">
      <c r="A965" s="11"/>
      <c r="B965" s="18"/>
      <c r="C965" s="24"/>
    </row>
    <row r="966" ht="15.75" customHeight="1">
      <c r="A966" s="11"/>
      <c r="B966" s="18"/>
      <c r="C966" s="24"/>
    </row>
    <row r="967" ht="15.75" customHeight="1">
      <c r="A967" s="11"/>
      <c r="B967" s="18"/>
      <c r="C967" s="24"/>
    </row>
    <row r="968" ht="15.75" customHeight="1">
      <c r="A968" s="11"/>
      <c r="B968" s="18"/>
      <c r="C968" s="24"/>
    </row>
    <row r="969" ht="15.75" customHeight="1">
      <c r="A969" s="11"/>
      <c r="B969" s="18"/>
      <c r="C969" s="24"/>
    </row>
    <row r="970" ht="15.75" customHeight="1">
      <c r="A970" s="11"/>
      <c r="B970" s="18"/>
      <c r="C970" s="24"/>
    </row>
    <row r="971" ht="15.75" customHeight="1">
      <c r="A971" s="11"/>
      <c r="B971" s="18"/>
      <c r="C971" s="24"/>
    </row>
    <row r="972" ht="15.75" customHeight="1">
      <c r="A972" s="11"/>
      <c r="B972" s="18"/>
      <c r="C972" s="24"/>
    </row>
    <row r="973" ht="15.75" customHeight="1">
      <c r="A973" s="11"/>
      <c r="B973" s="18"/>
      <c r="C973" s="24"/>
    </row>
    <row r="974" ht="15.75" customHeight="1">
      <c r="A974" s="11"/>
      <c r="B974" s="18"/>
      <c r="C974" s="24"/>
    </row>
    <row r="975" ht="15.75" customHeight="1">
      <c r="A975" s="11"/>
      <c r="B975" s="18"/>
      <c r="C975" s="24"/>
    </row>
    <row r="976" ht="15.75" customHeight="1">
      <c r="A976" s="11"/>
      <c r="B976" s="18"/>
      <c r="C976" s="24"/>
    </row>
    <row r="977" ht="15.75" customHeight="1">
      <c r="A977" s="11"/>
      <c r="B977" s="18"/>
      <c r="C977" s="24"/>
    </row>
    <row r="978" ht="15.75" customHeight="1">
      <c r="A978" s="11"/>
      <c r="B978" s="18"/>
      <c r="C978" s="24"/>
    </row>
    <row r="979" ht="15.75" customHeight="1">
      <c r="A979" s="11"/>
      <c r="B979" s="18"/>
      <c r="C979" s="24"/>
    </row>
    <row r="980" ht="15.75" customHeight="1">
      <c r="A980" s="11"/>
      <c r="B980" s="18"/>
      <c r="C980" s="24"/>
    </row>
    <row r="981" ht="15.75" customHeight="1">
      <c r="A981" s="11"/>
      <c r="B981" s="18"/>
      <c r="C981" s="24"/>
    </row>
    <row r="982" ht="15.75" customHeight="1">
      <c r="A982" s="11"/>
      <c r="B982" s="18"/>
      <c r="C982" s="24"/>
    </row>
    <row r="983" ht="15.75" customHeight="1">
      <c r="A983" s="11"/>
      <c r="B983" s="18"/>
      <c r="C983" s="24"/>
    </row>
    <row r="984" ht="15.75" customHeight="1">
      <c r="A984" s="11"/>
      <c r="B984" s="18"/>
      <c r="C984" s="24"/>
    </row>
    <row r="985" ht="15.75" customHeight="1">
      <c r="A985" s="11"/>
      <c r="B985" s="18"/>
      <c r="C985" s="24"/>
    </row>
    <row r="986" ht="15.75" customHeight="1">
      <c r="A986" s="11"/>
      <c r="B986" s="18"/>
      <c r="C986" s="24"/>
    </row>
    <row r="987" ht="15.75" customHeight="1">
      <c r="A987" s="11"/>
      <c r="B987" s="18"/>
      <c r="C987" s="24"/>
    </row>
    <row r="988" ht="15.75" customHeight="1">
      <c r="A988" s="11"/>
      <c r="B988" s="18"/>
      <c r="C988" s="24"/>
    </row>
    <row r="989" ht="15.75" customHeight="1">
      <c r="A989" s="11"/>
      <c r="B989" s="18"/>
      <c r="C989" s="24"/>
    </row>
    <row r="990" ht="15.75" customHeight="1">
      <c r="A990" s="11"/>
      <c r="B990" s="18"/>
      <c r="C990" s="24"/>
    </row>
    <row r="991" ht="15.75" customHeight="1">
      <c r="A991" s="11"/>
      <c r="B991" s="18"/>
      <c r="C991" s="24"/>
    </row>
    <row r="992" ht="15.75" customHeight="1">
      <c r="A992" s="11"/>
      <c r="B992" s="18"/>
      <c r="C992" s="24"/>
    </row>
    <row r="993" ht="15.75" customHeight="1">
      <c r="A993" s="11"/>
      <c r="B993" s="18"/>
      <c r="C993" s="24"/>
    </row>
    <row r="994" ht="15.75" customHeight="1">
      <c r="A994" s="11"/>
      <c r="B994" s="18"/>
      <c r="C994" s="24"/>
    </row>
    <row r="995" ht="15.75" customHeight="1">
      <c r="A995" s="11"/>
      <c r="B995" s="18"/>
      <c r="C995" s="24"/>
    </row>
    <row r="996" ht="15.75" customHeight="1">
      <c r="A996" s="11"/>
      <c r="B996" s="18"/>
      <c r="C996" s="24"/>
    </row>
    <row r="997" ht="15.75" customHeight="1">
      <c r="A997" s="11"/>
      <c r="B997" s="18"/>
      <c r="C997" s="24"/>
    </row>
    <row r="998" ht="15.75" customHeight="1">
      <c r="A998" s="11"/>
      <c r="B998" s="18"/>
      <c r="C998" s="24"/>
    </row>
    <row r="999" ht="15.75" customHeight="1">
      <c r="A999" s="11"/>
      <c r="B999" s="18"/>
      <c r="C999" s="24"/>
    </row>
    <row r="1000" ht="15.75" customHeight="1">
      <c r="A1000" s="11"/>
      <c r="B1000" s="18"/>
      <c r="C1000" s="24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hyperlinks>
    <hyperlink r:id="rId1" ref="B1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33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8</v>
      </c>
      <c r="K2" s="29" t="s">
        <v>37</v>
      </c>
      <c r="N2" s="33">
        <f t="shared" ref="N2:N3" si="1">SUM(E28:AA28)</f>
        <v>240</v>
      </c>
      <c r="P2" s="27"/>
    </row>
    <row r="3" ht="15.0" customHeight="1">
      <c r="A3" s="29" t="s">
        <v>38</v>
      </c>
      <c r="B3" s="30" t="s">
        <v>39</v>
      </c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12</v>
      </c>
      <c r="P3" s="27"/>
    </row>
    <row r="4" ht="15.0" customHeight="1">
      <c r="A4" s="29" t="s">
        <v>44</v>
      </c>
      <c r="B4" s="30" t="s">
        <v>45</v>
      </c>
      <c r="C4" s="31" t="s">
        <v>46</v>
      </c>
      <c r="D4" s="32" t="s">
        <v>47</v>
      </c>
      <c r="E4" s="29" t="s">
        <v>48</v>
      </c>
      <c r="H4" s="33">
        <f>COUNTIF(D7:D27, "Student - Added")</f>
        <v>2</v>
      </c>
      <c r="K4" s="29" t="s">
        <v>49</v>
      </c>
      <c r="N4" s="33">
        <f>sum(E30:AA30)</f>
        <v>252</v>
      </c>
      <c r="P4" s="27"/>
    </row>
    <row r="5" ht="15.0" customHeight="1">
      <c r="A5" s="29" t="s">
        <v>50</v>
      </c>
      <c r="B5" s="30" t="s">
        <v>51</v>
      </c>
      <c r="C5" s="31" t="s">
        <v>52</v>
      </c>
      <c r="D5" s="32" t="s">
        <v>53</v>
      </c>
      <c r="E5" s="29" t="s">
        <v>54</v>
      </c>
      <c r="H5" s="33">
        <f>COUNTIF(D7:D27, "Student - Dropped") + COUNTIF(D7:D27, "Student Aide - Dropped")</f>
        <v>2</v>
      </c>
      <c r="K5" s="31" t="s">
        <v>55</v>
      </c>
      <c r="N5" s="34">
        <f>SUM(N2/N4)</f>
        <v>0.9523809524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 t="s">
        <v>66</v>
      </c>
      <c r="B8" s="41" t="s">
        <v>67</v>
      </c>
      <c r="C8" s="42">
        <v>1.23456789E9</v>
      </c>
      <c r="D8" s="42" t="s">
        <v>68</v>
      </c>
      <c r="E8" s="42" t="s">
        <v>16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16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18</v>
      </c>
      <c r="W8" s="42" t="s">
        <v>4</v>
      </c>
      <c r="X8" s="42" t="s">
        <v>4</v>
      </c>
      <c r="Y8" s="42" t="s">
        <v>20</v>
      </c>
      <c r="Z8" s="42" t="s">
        <v>4</v>
      </c>
      <c r="AA8" s="42" t="s">
        <v>4</v>
      </c>
    </row>
    <row r="9" ht="15.0" customHeight="1">
      <c r="A9" s="41" t="s">
        <v>69</v>
      </c>
      <c r="B9" s="41" t="s">
        <v>67</v>
      </c>
      <c r="C9" s="42">
        <v>1.23456789E9</v>
      </c>
      <c r="D9" s="42" t="s">
        <v>70</v>
      </c>
      <c r="E9" s="43"/>
      <c r="F9" s="43"/>
      <c r="G9" s="43"/>
      <c r="H9" s="43"/>
      <c r="I9" s="43"/>
      <c r="J9" s="43"/>
      <c r="K9" s="42" t="s">
        <v>4</v>
      </c>
      <c r="L9" s="42" t="s">
        <v>4</v>
      </c>
      <c r="M9" s="42" t="s">
        <v>4</v>
      </c>
      <c r="N9" s="42" t="s">
        <v>4</v>
      </c>
      <c r="O9" s="42" t="s">
        <v>16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18</v>
      </c>
      <c r="W9" s="42" t="s">
        <v>4</v>
      </c>
      <c r="X9" s="42" t="s">
        <v>4</v>
      </c>
      <c r="Y9" s="42" t="s">
        <v>20</v>
      </c>
      <c r="Z9" s="42" t="s">
        <v>4</v>
      </c>
      <c r="AA9" s="42" t="s">
        <v>4</v>
      </c>
    </row>
    <row r="10" ht="15.0" customHeight="1">
      <c r="A10" s="41" t="s">
        <v>71</v>
      </c>
      <c r="B10" s="41" t="s">
        <v>67</v>
      </c>
      <c r="C10" s="42">
        <v>1.23456789E9</v>
      </c>
      <c r="D10" s="42" t="s">
        <v>72</v>
      </c>
      <c r="E10" s="42" t="s">
        <v>16</v>
      </c>
      <c r="F10" s="42" t="s">
        <v>4</v>
      </c>
      <c r="G10" s="42" t="s">
        <v>4</v>
      </c>
      <c r="H10" s="42" t="s">
        <v>10</v>
      </c>
      <c r="I10" s="42" t="s">
        <v>10</v>
      </c>
      <c r="J10" s="42" t="s">
        <v>12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5.0" customHeight="1">
      <c r="A11" s="41" t="s">
        <v>73</v>
      </c>
      <c r="B11" s="41" t="s">
        <v>67</v>
      </c>
      <c r="C11" s="42">
        <v>1.23456789E9</v>
      </c>
      <c r="D11" s="42" t="s">
        <v>74</v>
      </c>
      <c r="E11" s="42" t="s">
        <v>16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16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18</v>
      </c>
      <c r="W11" s="42" t="s">
        <v>4</v>
      </c>
      <c r="X11" s="42" t="s">
        <v>12</v>
      </c>
      <c r="Y11" s="43"/>
      <c r="Z11" s="43"/>
      <c r="AA11" s="43"/>
    </row>
    <row r="12" ht="15.0" customHeight="1">
      <c r="A12" s="41" t="s">
        <v>75</v>
      </c>
      <c r="B12" s="41" t="s">
        <v>67</v>
      </c>
      <c r="C12" s="42">
        <v>1.23456789E9</v>
      </c>
      <c r="D12" s="42" t="s">
        <v>76</v>
      </c>
      <c r="E12" s="42" t="s">
        <v>16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16</v>
      </c>
      <c r="P12" s="42" t="s">
        <v>4</v>
      </c>
      <c r="Q12" s="42" t="s">
        <v>14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5.0" customHeight="1">
      <c r="A13" s="41" t="s">
        <v>77</v>
      </c>
      <c r="B13" s="41" t="s">
        <v>67</v>
      </c>
      <c r="C13" s="42">
        <v>1.23456789E9</v>
      </c>
      <c r="D13" s="42" t="s">
        <v>78</v>
      </c>
      <c r="E13" s="42" t="s">
        <v>16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8</v>
      </c>
      <c r="L13" s="42" t="s">
        <v>4</v>
      </c>
      <c r="M13" s="42" t="s">
        <v>4</v>
      </c>
      <c r="N13" s="42" t="s">
        <v>4</v>
      </c>
      <c r="O13" s="42" t="s">
        <v>16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18</v>
      </c>
      <c r="W13" s="42" t="s">
        <v>4</v>
      </c>
      <c r="X13" s="42" t="s">
        <v>4</v>
      </c>
      <c r="Y13" s="42" t="s">
        <v>20</v>
      </c>
      <c r="Z13" s="42" t="s">
        <v>4</v>
      </c>
      <c r="AA13" s="42" t="s">
        <v>4</v>
      </c>
    </row>
    <row r="14" ht="15.0" customHeight="1">
      <c r="A14" s="41" t="s">
        <v>79</v>
      </c>
      <c r="B14" s="41" t="s">
        <v>67</v>
      </c>
      <c r="C14" s="42">
        <v>1.23456789E9</v>
      </c>
      <c r="D14" s="42" t="s">
        <v>78</v>
      </c>
      <c r="E14" s="42" t="s">
        <v>16</v>
      </c>
      <c r="F14" s="42" t="s">
        <v>4</v>
      </c>
      <c r="G14" s="42" t="s">
        <v>4</v>
      </c>
      <c r="H14" s="42" t="s">
        <v>4</v>
      </c>
      <c r="I14" s="42" t="s">
        <v>6</v>
      </c>
      <c r="J14" s="42" t="s">
        <v>4</v>
      </c>
      <c r="K14" s="42" t="s">
        <v>8</v>
      </c>
      <c r="L14" s="42" t="s">
        <v>4</v>
      </c>
      <c r="M14" s="42" t="s">
        <v>4</v>
      </c>
      <c r="N14" s="42" t="s">
        <v>4</v>
      </c>
      <c r="O14" s="42" t="s">
        <v>16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18</v>
      </c>
      <c r="W14" s="42" t="s">
        <v>4</v>
      </c>
      <c r="X14" s="42" t="s">
        <v>4</v>
      </c>
      <c r="Y14" s="42" t="s">
        <v>20</v>
      </c>
      <c r="Z14" s="42" t="s">
        <v>4</v>
      </c>
      <c r="AA14" s="42" t="s">
        <v>4</v>
      </c>
    </row>
    <row r="15" ht="15.0" customHeight="1">
      <c r="A15" s="41" t="s">
        <v>80</v>
      </c>
      <c r="B15" s="41" t="s">
        <v>67</v>
      </c>
      <c r="C15" s="42">
        <v>1.23456789E9</v>
      </c>
      <c r="D15" s="42" t="s">
        <v>78</v>
      </c>
      <c r="E15" s="42" t="s">
        <v>16</v>
      </c>
      <c r="F15" s="42" t="s">
        <v>4</v>
      </c>
      <c r="G15" s="42" t="s">
        <v>6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10</v>
      </c>
      <c r="N15" s="42" t="s">
        <v>4</v>
      </c>
      <c r="O15" s="42" t="s">
        <v>16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18</v>
      </c>
      <c r="W15" s="42" t="s">
        <v>6</v>
      </c>
      <c r="X15" s="42" t="s">
        <v>4</v>
      </c>
      <c r="Y15" s="42" t="s">
        <v>20</v>
      </c>
      <c r="Z15" s="42" t="s">
        <v>4</v>
      </c>
      <c r="AA15" s="42" t="s">
        <v>4</v>
      </c>
    </row>
    <row r="16" ht="15.0" customHeight="1">
      <c r="A16" s="41" t="s">
        <v>81</v>
      </c>
      <c r="B16" s="41" t="s">
        <v>67</v>
      </c>
      <c r="C16" s="42">
        <v>1.23456789E9</v>
      </c>
      <c r="D16" s="42" t="s">
        <v>78</v>
      </c>
      <c r="E16" s="42" t="s">
        <v>16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16</v>
      </c>
      <c r="P16" s="42" t="s">
        <v>8</v>
      </c>
      <c r="Q16" s="42" t="s">
        <v>8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18</v>
      </c>
      <c r="W16" s="42" t="s">
        <v>4</v>
      </c>
      <c r="X16" s="42" t="s">
        <v>4</v>
      </c>
      <c r="Y16" s="42" t="s">
        <v>20</v>
      </c>
      <c r="Z16" s="42" t="s">
        <v>4</v>
      </c>
      <c r="AA16" s="42" t="s">
        <v>4</v>
      </c>
    </row>
    <row r="17" ht="15.0" customHeight="1">
      <c r="A17" s="41" t="s">
        <v>82</v>
      </c>
      <c r="B17" s="41" t="s">
        <v>67</v>
      </c>
      <c r="C17" s="42">
        <v>1.23456789E9</v>
      </c>
      <c r="D17" s="42" t="s">
        <v>78</v>
      </c>
      <c r="E17" s="42" t="s">
        <v>16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6</v>
      </c>
      <c r="L17" s="42" t="s">
        <v>4</v>
      </c>
      <c r="M17" s="42" t="s">
        <v>10</v>
      </c>
      <c r="N17" s="42" t="s">
        <v>4</v>
      </c>
      <c r="O17" s="42" t="s">
        <v>16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18</v>
      </c>
      <c r="W17" s="42" t="s">
        <v>4</v>
      </c>
      <c r="X17" s="42" t="s">
        <v>4</v>
      </c>
      <c r="Y17" s="42" t="s">
        <v>20</v>
      </c>
      <c r="Z17" s="42" t="s">
        <v>4</v>
      </c>
      <c r="AA17" s="42" t="s">
        <v>4</v>
      </c>
    </row>
    <row r="18" ht="15.0" customHeight="1">
      <c r="A18" s="41" t="s">
        <v>83</v>
      </c>
      <c r="B18" s="41" t="s">
        <v>67</v>
      </c>
      <c r="C18" s="42">
        <v>1.23456789E9</v>
      </c>
      <c r="D18" s="42" t="s">
        <v>78</v>
      </c>
      <c r="E18" s="42" t="s">
        <v>16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6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16</v>
      </c>
      <c r="P18" s="42" t="s">
        <v>4</v>
      </c>
      <c r="Q18" s="42" t="s">
        <v>8</v>
      </c>
      <c r="R18" s="42" t="s">
        <v>8</v>
      </c>
      <c r="S18" s="42" t="s">
        <v>4</v>
      </c>
      <c r="T18" s="42" t="s">
        <v>4</v>
      </c>
      <c r="U18" s="42" t="s">
        <v>4</v>
      </c>
      <c r="V18" s="42" t="s">
        <v>18</v>
      </c>
      <c r="W18" s="42" t="s">
        <v>4</v>
      </c>
      <c r="X18" s="42" t="s">
        <v>4</v>
      </c>
      <c r="Y18" s="42" t="s">
        <v>20</v>
      </c>
      <c r="Z18" s="42" t="s">
        <v>4</v>
      </c>
      <c r="AA18" s="42" t="s">
        <v>4</v>
      </c>
    </row>
    <row r="19" ht="15.0" customHeight="1">
      <c r="A19" s="41" t="s">
        <v>84</v>
      </c>
      <c r="B19" s="41" t="s">
        <v>67</v>
      </c>
      <c r="C19" s="42">
        <v>1.23456789E9</v>
      </c>
      <c r="D19" s="42" t="s">
        <v>85</v>
      </c>
      <c r="E19" s="43"/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16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18</v>
      </c>
      <c r="W19" s="42" t="s">
        <v>4</v>
      </c>
      <c r="X19" s="42" t="s">
        <v>4</v>
      </c>
      <c r="Y19" s="42" t="s">
        <v>20</v>
      </c>
      <c r="Z19" s="42" t="s">
        <v>4</v>
      </c>
      <c r="AA19" s="42" t="s">
        <v>4</v>
      </c>
    </row>
    <row r="20" ht="15.0" customHeight="1">
      <c r="A20" s="41" t="s">
        <v>86</v>
      </c>
      <c r="B20" s="41" t="s">
        <v>67</v>
      </c>
      <c r="C20" s="42">
        <v>1.23456789E9</v>
      </c>
      <c r="D20" s="42" t="s">
        <v>85</v>
      </c>
      <c r="E20" s="43"/>
      <c r="F20" s="43"/>
      <c r="G20" s="43"/>
      <c r="H20" s="43"/>
      <c r="I20" s="43"/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16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18</v>
      </c>
      <c r="W20" s="42" t="s">
        <v>4</v>
      </c>
      <c r="X20" s="42" t="s">
        <v>4</v>
      </c>
      <c r="Y20" s="42" t="s">
        <v>20</v>
      </c>
      <c r="Z20" s="42" t="s">
        <v>4</v>
      </c>
      <c r="AA20" s="42" t="s">
        <v>4</v>
      </c>
    </row>
    <row r="21" ht="15.0" customHeight="1">
      <c r="A21" s="41" t="s">
        <v>87</v>
      </c>
      <c r="B21" s="41" t="s">
        <v>67</v>
      </c>
      <c r="C21" s="42">
        <v>1.23456789E9</v>
      </c>
      <c r="D21" s="42" t="s">
        <v>88</v>
      </c>
      <c r="E21" s="42" t="s">
        <v>16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16</v>
      </c>
      <c r="P21" s="42" t="s">
        <v>10</v>
      </c>
      <c r="Q21" s="42" t="s">
        <v>10</v>
      </c>
      <c r="R21" s="42" t="s">
        <v>10</v>
      </c>
      <c r="S21" s="42" t="s">
        <v>12</v>
      </c>
      <c r="T21" s="43"/>
      <c r="U21" s="43"/>
      <c r="V21" s="43"/>
      <c r="W21" s="43"/>
      <c r="X21" s="43"/>
      <c r="Y21" s="43"/>
      <c r="Z21" s="43"/>
      <c r="AA21" s="43"/>
    </row>
    <row r="22" ht="15.0" customHeight="1">
      <c r="A22" s="41" t="s">
        <v>89</v>
      </c>
      <c r="B22" s="41" t="s">
        <v>67</v>
      </c>
      <c r="C22" s="42">
        <v>1.23456789E9</v>
      </c>
      <c r="D22" s="42" t="s">
        <v>90</v>
      </c>
      <c r="E22" s="42" t="s">
        <v>16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16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12</v>
      </c>
      <c r="V22" s="43"/>
      <c r="W22" s="43"/>
      <c r="X22" s="43"/>
      <c r="Y22" s="43"/>
      <c r="Z22" s="43"/>
      <c r="AA22" s="43"/>
    </row>
    <row r="23" ht="15.0" customHeight="1">
      <c r="A23" s="41" t="s">
        <v>91</v>
      </c>
      <c r="B23" s="41" t="s">
        <v>67</v>
      </c>
      <c r="C23" s="42">
        <v>1.23456789E9</v>
      </c>
      <c r="D23" s="42" t="s">
        <v>92</v>
      </c>
      <c r="E23" s="42" t="s">
        <v>16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16</v>
      </c>
      <c r="P23" s="42" t="s">
        <v>4</v>
      </c>
      <c r="Q23" s="42" t="s">
        <v>4</v>
      </c>
      <c r="R23" s="42" t="s">
        <v>4</v>
      </c>
      <c r="S23" s="42" t="s">
        <v>14</v>
      </c>
      <c r="T23" s="43"/>
      <c r="U23" s="43"/>
      <c r="V23" s="43"/>
      <c r="W23" s="43"/>
      <c r="X23" s="43"/>
      <c r="Y23" s="43"/>
      <c r="Z23" s="43"/>
      <c r="AA23" s="43"/>
    </row>
    <row r="24" ht="15.0" customHeight="1">
      <c r="A24" s="41" t="s">
        <v>93</v>
      </c>
      <c r="B24" s="41" t="s">
        <v>67</v>
      </c>
      <c r="C24" s="42">
        <v>1.23456789E9</v>
      </c>
      <c r="D24" s="42" t="s">
        <v>92</v>
      </c>
      <c r="E24" s="42" t="s">
        <v>16</v>
      </c>
      <c r="F24" s="42" t="s">
        <v>4</v>
      </c>
      <c r="G24" s="42" t="s">
        <v>4</v>
      </c>
      <c r="H24" s="42" t="s">
        <v>4</v>
      </c>
      <c r="I24" s="42" t="s">
        <v>14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15</v>
      </c>
      <c r="G28" s="49">
        <f t="shared" si="2"/>
        <v>14</v>
      </c>
      <c r="H28" s="49">
        <f t="shared" si="2"/>
        <v>14</v>
      </c>
      <c r="I28" s="49">
        <f t="shared" si="2"/>
        <v>12</v>
      </c>
      <c r="J28" s="49">
        <f t="shared" si="2"/>
        <v>13</v>
      </c>
      <c r="K28" s="49">
        <f t="shared" si="2"/>
        <v>14</v>
      </c>
      <c r="L28" s="49">
        <f t="shared" si="2"/>
        <v>15</v>
      </c>
      <c r="M28" s="49">
        <f t="shared" si="2"/>
        <v>13</v>
      </c>
      <c r="N28" s="49">
        <f t="shared" si="2"/>
        <v>15</v>
      </c>
      <c r="O28" s="49">
        <f t="shared" si="2"/>
        <v>0</v>
      </c>
      <c r="P28" s="49">
        <f t="shared" si="2"/>
        <v>14</v>
      </c>
      <c r="Q28" s="49">
        <f t="shared" si="2"/>
        <v>13</v>
      </c>
      <c r="R28" s="49">
        <f t="shared" si="2"/>
        <v>13</v>
      </c>
      <c r="S28" s="49">
        <f t="shared" si="2"/>
        <v>12</v>
      </c>
      <c r="T28" s="49">
        <f t="shared" si="2"/>
        <v>12</v>
      </c>
      <c r="U28" s="49">
        <f t="shared" si="2"/>
        <v>11</v>
      </c>
      <c r="V28" s="49">
        <f t="shared" si="2"/>
        <v>0</v>
      </c>
      <c r="W28" s="49">
        <f t="shared" si="2"/>
        <v>10</v>
      </c>
      <c r="X28" s="49">
        <f t="shared" si="2"/>
        <v>10</v>
      </c>
      <c r="Y28" s="49">
        <f t="shared" si="2"/>
        <v>0</v>
      </c>
      <c r="Z28" s="49">
        <f t="shared" si="2"/>
        <v>10</v>
      </c>
      <c r="AA28" s="49">
        <f t="shared" si="2"/>
        <v>10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1</v>
      </c>
      <c r="H29" s="54">
        <f t="shared" si="3"/>
        <v>1</v>
      </c>
      <c r="I29" s="54">
        <f t="shared" si="3"/>
        <v>2</v>
      </c>
      <c r="J29" s="54">
        <f t="shared" si="3"/>
        <v>1</v>
      </c>
      <c r="K29" s="54">
        <f t="shared" si="3"/>
        <v>1</v>
      </c>
      <c r="L29" s="54">
        <f t="shared" si="3"/>
        <v>0</v>
      </c>
      <c r="M29" s="54">
        <f t="shared" si="3"/>
        <v>2</v>
      </c>
      <c r="N29" s="54">
        <f t="shared" si="3"/>
        <v>0</v>
      </c>
      <c r="O29" s="54">
        <f t="shared" si="3"/>
        <v>0</v>
      </c>
      <c r="P29" s="54">
        <f t="shared" si="3"/>
        <v>1</v>
      </c>
      <c r="Q29" s="54">
        <f t="shared" si="3"/>
        <v>1</v>
      </c>
      <c r="R29" s="54">
        <f t="shared" si="3"/>
        <v>1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1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15</v>
      </c>
      <c r="G30" s="55">
        <f t="shared" si="4"/>
        <v>15</v>
      </c>
      <c r="H30" s="55">
        <f t="shared" si="4"/>
        <v>15</v>
      </c>
      <c r="I30" s="55">
        <f t="shared" si="4"/>
        <v>14</v>
      </c>
      <c r="J30" s="55">
        <f t="shared" si="4"/>
        <v>14</v>
      </c>
      <c r="K30" s="55">
        <f t="shared" si="4"/>
        <v>15</v>
      </c>
      <c r="L30" s="55">
        <f t="shared" si="4"/>
        <v>15</v>
      </c>
      <c r="M30" s="55">
        <f t="shared" si="4"/>
        <v>15</v>
      </c>
      <c r="N30" s="55">
        <f t="shared" si="4"/>
        <v>15</v>
      </c>
      <c r="O30" s="55">
        <f t="shared" si="4"/>
        <v>0</v>
      </c>
      <c r="P30" s="55">
        <f t="shared" si="4"/>
        <v>15</v>
      </c>
      <c r="Q30" s="55">
        <f t="shared" si="4"/>
        <v>14</v>
      </c>
      <c r="R30" s="55">
        <f t="shared" si="4"/>
        <v>14</v>
      </c>
      <c r="S30" s="55">
        <f t="shared" si="4"/>
        <v>12</v>
      </c>
      <c r="T30" s="55">
        <f t="shared" si="4"/>
        <v>12</v>
      </c>
      <c r="U30" s="55">
        <f t="shared" si="4"/>
        <v>11</v>
      </c>
      <c r="V30" s="55">
        <f t="shared" si="4"/>
        <v>0</v>
      </c>
      <c r="W30" s="55">
        <f t="shared" si="4"/>
        <v>11</v>
      </c>
      <c r="X30" s="55">
        <f t="shared" si="4"/>
        <v>10</v>
      </c>
      <c r="Y30" s="55">
        <f t="shared" si="4"/>
        <v>0</v>
      </c>
      <c r="Z30" s="55">
        <f t="shared" si="4"/>
        <v>10</v>
      </c>
      <c r="AA30" s="55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97</v>
      </c>
      <c r="E2" s="29" t="s">
        <v>36</v>
      </c>
      <c r="H2" s="33">
        <f>COUNTIF(D7:D27, "Student - Active") + COUNTIF(D7:D27, "Student - Added")
</f>
        <v>16</v>
      </c>
      <c r="K2" s="29" t="s">
        <v>37</v>
      </c>
      <c r="N2" s="33">
        <f t="shared" ref="N2:N3" si="1">SUM(E44:AA44)</f>
        <v>60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98</v>
      </c>
      <c r="E3" s="29" t="s">
        <v>42</v>
      </c>
      <c r="H3" s="33">
        <f>COUNTIF(D7:D27, "Student Aide - Active") + COUNTIF(D7:D27, "Student Aide - Added")</f>
        <v>1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sum(E46:AA46)</f>
        <v>60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>
        <f>SUM(N2/N4)</f>
        <v>1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46023.0</v>
      </c>
      <c r="F7" s="40">
        <v>46024.0</v>
      </c>
      <c r="G7" s="40">
        <v>46027.0</v>
      </c>
      <c r="H7" s="40">
        <v>46028.0</v>
      </c>
      <c r="I7" s="40">
        <v>46029.0</v>
      </c>
      <c r="J7" s="40">
        <v>46030.0</v>
      </c>
      <c r="K7" s="40">
        <v>46031.0</v>
      </c>
      <c r="L7" s="40">
        <v>46034.0</v>
      </c>
      <c r="M7" s="40">
        <v>46035.0</v>
      </c>
      <c r="N7" s="40">
        <v>46036.0</v>
      </c>
      <c r="O7" s="40">
        <v>46037.0</v>
      </c>
      <c r="P7" s="40">
        <v>46038.0</v>
      </c>
      <c r="Q7" s="40">
        <v>46041.0</v>
      </c>
      <c r="R7" s="40">
        <v>46042.0</v>
      </c>
      <c r="S7" s="40">
        <v>46043.0</v>
      </c>
      <c r="T7" s="40">
        <v>46044.0</v>
      </c>
      <c r="U7" s="56">
        <v>46045.0</v>
      </c>
      <c r="V7" s="56">
        <v>46048.0</v>
      </c>
      <c r="W7" s="40">
        <v>46049.0</v>
      </c>
      <c r="X7" s="40">
        <v>46050.0</v>
      </c>
      <c r="Y7" s="40">
        <v>46051.0</v>
      </c>
      <c r="Z7" s="40">
        <v>46052.0</v>
      </c>
      <c r="AA7" s="40"/>
    </row>
    <row r="8" ht="15.0" customHeight="1">
      <c r="A8" s="57" t="s">
        <v>99</v>
      </c>
      <c r="B8" s="57" t="s">
        <v>100</v>
      </c>
      <c r="C8" s="58">
        <v>353303.0</v>
      </c>
      <c r="D8" s="59" t="s">
        <v>78</v>
      </c>
      <c r="E8" s="42" t="s">
        <v>16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/>
      <c r="L8" s="42"/>
      <c r="M8" s="42"/>
      <c r="N8" s="42"/>
      <c r="O8" s="42"/>
      <c r="P8" s="42"/>
      <c r="Q8" s="42" t="s">
        <v>16</v>
      </c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57" t="s">
        <v>101</v>
      </c>
      <c r="B9" s="57" t="s">
        <v>102</v>
      </c>
      <c r="C9" s="58">
        <v>360294.0</v>
      </c>
      <c r="D9" s="59" t="s">
        <v>78</v>
      </c>
      <c r="E9" s="42" t="s">
        <v>16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/>
      <c r="L9" s="42"/>
      <c r="M9" s="42"/>
      <c r="N9" s="42"/>
      <c r="O9" s="42"/>
      <c r="P9" s="42"/>
      <c r="Q9" s="42" t="s">
        <v>16</v>
      </c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57" t="s">
        <v>103</v>
      </c>
      <c r="B10" s="57" t="s">
        <v>104</v>
      </c>
      <c r="C10" s="58">
        <v>391950.0</v>
      </c>
      <c r="D10" s="59" t="s">
        <v>78</v>
      </c>
      <c r="E10" s="42" t="s">
        <v>16</v>
      </c>
      <c r="F10" s="42" t="s">
        <v>4</v>
      </c>
      <c r="G10" s="42" t="s">
        <v>4</v>
      </c>
      <c r="H10" s="42" t="s">
        <v>4</v>
      </c>
      <c r="I10" s="42" t="s">
        <v>4</v>
      </c>
      <c r="J10" s="42" t="s">
        <v>4</v>
      </c>
      <c r="K10" s="42"/>
      <c r="L10" s="42"/>
      <c r="M10" s="42"/>
      <c r="N10" s="42"/>
      <c r="O10" s="42"/>
      <c r="P10" s="42"/>
      <c r="Q10" s="42" t="s">
        <v>16</v>
      </c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57" t="s">
        <v>105</v>
      </c>
      <c r="B11" s="57" t="s">
        <v>106</v>
      </c>
      <c r="C11" s="58">
        <v>371101.0</v>
      </c>
      <c r="D11" s="59" t="s">
        <v>78</v>
      </c>
      <c r="E11" s="42" t="s">
        <v>16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/>
      <c r="L11" s="42"/>
      <c r="M11" s="42"/>
      <c r="N11" s="42"/>
      <c r="O11" s="42"/>
      <c r="P11" s="42"/>
      <c r="Q11" s="42" t="s">
        <v>16</v>
      </c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57" t="s">
        <v>107</v>
      </c>
      <c r="B12" s="57" t="s">
        <v>108</v>
      </c>
      <c r="C12" s="58">
        <v>380173.0</v>
      </c>
      <c r="D12" s="59" t="s">
        <v>78</v>
      </c>
      <c r="E12" s="42" t="s">
        <v>16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/>
      <c r="L12" s="42"/>
      <c r="M12" s="42"/>
      <c r="N12" s="42"/>
      <c r="O12" s="42"/>
      <c r="P12" s="42"/>
      <c r="Q12" s="42" t="s">
        <v>16</v>
      </c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57" t="s">
        <v>109</v>
      </c>
      <c r="B13" s="57" t="s">
        <v>110</v>
      </c>
      <c r="C13" s="58">
        <v>390264.0</v>
      </c>
      <c r="D13" s="59" t="s">
        <v>78</v>
      </c>
      <c r="E13" s="42" t="s">
        <v>16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/>
      <c r="L13" s="42"/>
      <c r="M13" s="42"/>
      <c r="N13" s="42"/>
      <c r="O13" s="42"/>
      <c r="P13" s="42"/>
      <c r="Q13" s="42" t="s">
        <v>16</v>
      </c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57" t="s">
        <v>111</v>
      </c>
      <c r="B14" s="57" t="s">
        <v>112</v>
      </c>
      <c r="C14" s="58">
        <v>360952.0</v>
      </c>
      <c r="D14" s="59" t="s">
        <v>78</v>
      </c>
      <c r="E14" s="42" t="s">
        <v>16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4</v>
      </c>
      <c r="K14" s="42"/>
      <c r="L14" s="42"/>
      <c r="M14" s="42"/>
      <c r="N14" s="42"/>
      <c r="O14" s="42"/>
      <c r="P14" s="42"/>
      <c r="Q14" s="42" t="s">
        <v>16</v>
      </c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57" t="s">
        <v>113</v>
      </c>
      <c r="B15" s="57" t="s">
        <v>114</v>
      </c>
      <c r="C15" s="58">
        <v>317339.0</v>
      </c>
      <c r="D15" s="59" t="s">
        <v>78</v>
      </c>
      <c r="E15" s="42" t="s">
        <v>16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4</v>
      </c>
      <c r="K15" s="42"/>
      <c r="L15" s="42"/>
      <c r="M15" s="42"/>
      <c r="N15" s="42"/>
      <c r="O15" s="42"/>
      <c r="P15" s="42"/>
      <c r="Q15" s="42" t="s">
        <v>16</v>
      </c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60" t="s">
        <v>115</v>
      </c>
      <c r="B16" s="60" t="s">
        <v>116</v>
      </c>
      <c r="C16" s="61">
        <v>254387.0</v>
      </c>
      <c r="D16" s="59" t="s">
        <v>68</v>
      </c>
      <c r="E16" s="42" t="s">
        <v>16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/>
      <c r="L16" s="42"/>
      <c r="M16" s="42"/>
      <c r="N16" s="42"/>
      <c r="O16" s="42"/>
      <c r="P16" s="42"/>
      <c r="Q16" s="42" t="s">
        <v>16</v>
      </c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 t="s">
        <v>16</v>
      </c>
      <c r="F17" s="42"/>
      <c r="G17" s="42"/>
      <c r="I17" s="42"/>
      <c r="J17" s="42"/>
      <c r="K17" s="42"/>
      <c r="L17" s="42"/>
      <c r="M17" s="42"/>
      <c r="N17" s="42"/>
      <c r="O17" s="42"/>
      <c r="P17" s="42"/>
      <c r="Q17" s="42" t="s">
        <v>16</v>
      </c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 t="s">
        <v>16</v>
      </c>
      <c r="F18" s="42"/>
      <c r="G18" s="42"/>
      <c r="I18" s="42"/>
      <c r="J18" s="42"/>
      <c r="K18" s="42"/>
      <c r="L18" s="42"/>
      <c r="M18" s="42"/>
      <c r="N18" s="42"/>
      <c r="O18" s="42"/>
      <c r="P18" s="42"/>
      <c r="Q18" s="42" t="s">
        <v>16</v>
      </c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62" t="s">
        <v>117</v>
      </c>
      <c r="B19" s="63"/>
      <c r="C19" s="64"/>
      <c r="D19" s="64"/>
      <c r="E19" s="42" t="s">
        <v>16</v>
      </c>
      <c r="F19" s="42"/>
      <c r="G19" s="42"/>
      <c r="I19" s="42"/>
      <c r="J19" s="42"/>
      <c r="K19" s="42"/>
      <c r="L19" s="42"/>
      <c r="M19" s="42"/>
      <c r="N19" s="42"/>
      <c r="O19" s="42"/>
      <c r="P19" s="42"/>
      <c r="Q19" s="42" t="s">
        <v>16</v>
      </c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65" t="s">
        <v>118</v>
      </c>
      <c r="B20" s="65" t="s">
        <v>119</v>
      </c>
      <c r="C20" s="66">
        <v>368523.0</v>
      </c>
      <c r="D20" s="42" t="s">
        <v>78</v>
      </c>
      <c r="E20" s="42" t="s">
        <v>16</v>
      </c>
      <c r="F20" s="42"/>
      <c r="G20" s="42"/>
      <c r="I20" s="42"/>
      <c r="J20" s="42"/>
      <c r="K20" s="42"/>
      <c r="L20" s="42"/>
      <c r="M20" s="42"/>
      <c r="N20" s="42"/>
      <c r="O20" s="42"/>
      <c r="P20" s="42"/>
      <c r="Q20" s="42" t="s">
        <v>16</v>
      </c>
      <c r="R20" s="42"/>
      <c r="S20" s="42"/>
      <c r="T20" s="42"/>
      <c r="U20" s="42"/>
      <c r="V20" s="42"/>
      <c r="W20" s="42"/>
      <c r="X20" s="42" t="s">
        <v>4</v>
      </c>
      <c r="Y20" s="42" t="s">
        <v>4</v>
      </c>
      <c r="Z20" s="42" t="s">
        <v>4</v>
      </c>
      <c r="AA20" s="42"/>
    </row>
    <row r="21" ht="15.0" customHeight="1">
      <c r="A21" s="65" t="s">
        <v>120</v>
      </c>
      <c r="B21" s="65" t="s">
        <v>121</v>
      </c>
      <c r="C21" s="66">
        <v>384445.0</v>
      </c>
      <c r="D21" s="42" t="s">
        <v>78</v>
      </c>
      <c r="E21" s="42" t="s">
        <v>16</v>
      </c>
      <c r="F21" s="42"/>
      <c r="G21" s="42"/>
      <c r="I21" s="42"/>
      <c r="J21" s="42"/>
      <c r="K21" s="42"/>
      <c r="L21" s="42"/>
      <c r="M21" s="42"/>
      <c r="N21" s="42"/>
      <c r="O21" s="42"/>
      <c r="P21" s="42"/>
      <c r="Q21" s="42" t="s">
        <v>16</v>
      </c>
      <c r="R21" s="42"/>
      <c r="S21" s="42"/>
      <c r="T21" s="42"/>
      <c r="U21" s="42"/>
      <c r="V21" s="42"/>
      <c r="W21" s="42"/>
      <c r="X21" s="42" t="s">
        <v>4</v>
      </c>
      <c r="Y21" s="42" t="s">
        <v>4</v>
      </c>
      <c r="Z21" s="42" t="s">
        <v>4</v>
      </c>
      <c r="AA21" s="42"/>
    </row>
    <row r="22" ht="15.0" customHeight="1">
      <c r="A22" s="65" t="s">
        <v>122</v>
      </c>
      <c r="B22" s="65" t="s">
        <v>123</v>
      </c>
      <c r="C22" s="66">
        <v>380027.0</v>
      </c>
      <c r="D22" s="42" t="s">
        <v>78</v>
      </c>
      <c r="E22" s="42" t="s">
        <v>16</v>
      </c>
      <c r="F22" s="42"/>
      <c r="G22" s="42"/>
      <c r="I22" s="42"/>
      <c r="J22" s="42"/>
      <c r="K22" s="42"/>
      <c r="L22" s="42"/>
      <c r="M22" s="42"/>
      <c r="N22" s="42"/>
      <c r="O22" s="42"/>
      <c r="P22" s="42"/>
      <c r="Q22" s="42" t="s">
        <v>16</v>
      </c>
      <c r="R22" s="42"/>
      <c r="S22" s="42"/>
      <c r="T22" s="42"/>
      <c r="U22" s="42"/>
      <c r="V22" s="42"/>
      <c r="W22" s="42"/>
      <c r="X22" s="42" t="s">
        <v>4</v>
      </c>
      <c r="Y22" s="42" t="s">
        <v>4</v>
      </c>
      <c r="Z22" s="42" t="s">
        <v>4</v>
      </c>
      <c r="AA22" s="42"/>
    </row>
    <row r="23" ht="15.0" customHeight="1">
      <c r="A23" s="65" t="s">
        <v>124</v>
      </c>
      <c r="B23" s="65" t="s">
        <v>125</v>
      </c>
      <c r="C23" s="66">
        <v>396947.0</v>
      </c>
      <c r="D23" s="42" t="s">
        <v>78</v>
      </c>
      <c r="E23" s="42" t="s">
        <v>16</v>
      </c>
      <c r="F23" s="42"/>
      <c r="G23" s="42"/>
      <c r="I23" s="42"/>
      <c r="J23" s="42"/>
      <c r="K23" s="42"/>
      <c r="L23" s="42"/>
      <c r="M23" s="42"/>
      <c r="N23" s="42"/>
      <c r="O23" s="42"/>
      <c r="P23" s="42"/>
      <c r="Q23" s="42" t="s">
        <v>16</v>
      </c>
      <c r="R23" s="42"/>
      <c r="S23" s="42"/>
      <c r="T23" s="42"/>
      <c r="U23" s="42"/>
      <c r="V23" s="42"/>
      <c r="W23" s="42"/>
      <c r="X23" s="42" t="s">
        <v>4</v>
      </c>
      <c r="Y23" s="42" t="s">
        <v>4</v>
      </c>
      <c r="Z23" s="42" t="s">
        <v>4</v>
      </c>
      <c r="AA23" s="42"/>
    </row>
    <row r="24" ht="15.0" customHeight="1">
      <c r="A24" s="65" t="s">
        <v>126</v>
      </c>
      <c r="B24" s="65" t="s">
        <v>127</v>
      </c>
      <c r="C24" s="66">
        <v>341113.0</v>
      </c>
      <c r="D24" s="42" t="s">
        <v>78</v>
      </c>
      <c r="E24" s="42" t="s">
        <v>16</v>
      </c>
      <c r="F24" s="42"/>
      <c r="G24" s="42"/>
      <c r="I24" s="42"/>
      <c r="J24" s="42"/>
      <c r="K24" s="42"/>
      <c r="L24" s="42"/>
      <c r="M24" s="42"/>
      <c r="N24" s="42"/>
      <c r="O24" s="42"/>
      <c r="P24" s="42"/>
      <c r="Q24" s="42" t="s">
        <v>16</v>
      </c>
      <c r="R24" s="42"/>
      <c r="S24" s="42"/>
      <c r="T24" s="42"/>
      <c r="U24" s="42"/>
      <c r="V24" s="42"/>
      <c r="W24" s="42"/>
      <c r="X24" s="42" t="s">
        <v>4</v>
      </c>
      <c r="Y24" s="42" t="s">
        <v>4</v>
      </c>
      <c r="Z24" s="42" t="s">
        <v>4</v>
      </c>
      <c r="AA24" s="42"/>
    </row>
    <row r="25" ht="15.0" customHeight="1">
      <c r="A25" s="67" t="s">
        <v>128</v>
      </c>
      <c r="B25" s="67" t="s">
        <v>129</v>
      </c>
      <c r="C25" s="68">
        <v>388724.0</v>
      </c>
      <c r="D25" s="42" t="s">
        <v>78</v>
      </c>
      <c r="E25" s="42" t="s">
        <v>16</v>
      </c>
      <c r="F25" s="42"/>
      <c r="G25" s="42"/>
      <c r="I25" s="42"/>
      <c r="J25" s="42"/>
      <c r="K25" s="42"/>
      <c r="L25" s="42"/>
      <c r="M25" s="42"/>
      <c r="N25" s="42"/>
      <c r="O25" s="42"/>
      <c r="P25" s="42"/>
      <c r="Q25" s="42" t="s">
        <v>16</v>
      </c>
      <c r="R25" s="42"/>
      <c r="S25" s="42"/>
      <c r="T25" s="42"/>
      <c r="U25" s="42"/>
      <c r="V25" s="42"/>
      <c r="W25" s="42"/>
      <c r="X25" s="42" t="s">
        <v>4</v>
      </c>
      <c r="Y25" s="42" t="s">
        <v>4</v>
      </c>
      <c r="Z25" s="42" t="s">
        <v>4</v>
      </c>
      <c r="AA25" s="42"/>
    </row>
    <row r="26" ht="15.0" customHeight="1">
      <c r="A26" s="67" t="s">
        <v>130</v>
      </c>
      <c r="B26" s="67" t="s">
        <v>131</v>
      </c>
      <c r="C26" s="68">
        <v>397231.0</v>
      </c>
      <c r="D26" s="42" t="s">
        <v>78</v>
      </c>
      <c r="E26" s="42" t="s">
        <v>16</v>
      </c>
      <c r="F26" s="42"/>
      <c r="G26" s="42"/>
      <c r="I26" s="42"/>
      <c r="J26" s="42"/>
      <c r="K26" s="42"/>
      <c r="L26" s="42"/>
      <c r="M26" s="42"/>
      <c r="N26" s="42"/>
      <c r="O26" s="42"/>
      <c r="P26" s="42"/>
      <c r="Q26" s="42" t="s">
        <v>16</v>
      </c>
      <c r="R26" s="42"/>
      <c r="S26" s="42"/>
      <c r="T26" s="42"/>
      <c r="U26" s="42"/>
      <c r="V26" s="42"/>
      <c r="W26" s="42"/>
      <c r="X26" s="42" t="s">
        <v>4</v>
      </c>
      <c r="Y26" s="42" t="s">
        <v>4</v>
      </c>
      <c r="Z26" s="42" t="s">
        <v>4</v>
      </c>
      <c r="AA26" s="42"/>
    </row>
    <row r="27" ht="15.0" customHeight="1">
      <c r="A27" s="67" t="s">
        <v>132</v>
      </c>
      <c r="B27" s="67" t="s">
        <v>133</v>
      </c>
      <c r="C27" s="68">
        <v>332229.0</v>
      </c>
      <c r="D27" s="42" t="s">
        <v>78</v>
      </c>
      <c r="E27" s="42" t="s">
        <v>16</v>
      </c>
      <c r="F27" s="42"/>
      <c r="G27" s="42"/>
      <c r="I27" s="42"/>
      <c r="J27" s="42"/>
      <c r="K27" s="42"/>
      <c r="L27" s="42"/>
      <c r="M27" s="42"/>
      <c r="N27" s="42"/>
      <c r="O27" s="42"/>
      <c r="P27" s="42"/>
      <c r="Q27" s="42" t="s">
        <v>16</v>
      </c>
      <c r="R27" s="42"/>
      <c r="S27" s="42"/>
      <c r="T27" s="42"/>
      <c r="U27" s="42"/>
      <c r="V27" s="42"/>
      <c r="W27" s="42"/>
      <c r="X27" s="42" t="s">
        <v>4</v>
      </c>
      <c r="Y27" s="42" t="s">
        <v>4</v>
      </c>
      <c r="Z27" s="42" t="s">
        <v>4</v>
      </c>
      <c r="AA27" s="42"/>
    </row>
    <row r="28" ht="15.0" customHeight="1">
      <c r="A28" s="67" t="s">
        <v>134</v>
      </c>
      <c r="B28" s="67" t="s">
        <v>135</v>
      </c>
      <c r="C28" s="68">
        <v>390285.0</v>
      </c>
      <c r="D28" s="42" t="s">
        <v>78</v>
      </c>
      <c r="E28" s="42" t="s">
        <v>16</v>
      </c>
      <c r="F28" s="42"/>
      <c r="G28" s="42"/>
      <c r="I28" s="42"/>
      <c r="J28" s="42"/>
      <c r="K28" s="42"/>
      <c r="L28" s="42"/>
      <c r="M28" s="42"/>
      <c r="N28" s="42"/>
      <c r="O28" s="42"/>
      <c r="P28" s="42"/>
      <c r="Q28" s="42" t="s">
        <v>16</v>
      </c>
      <c r="R28" s="42"/>
      <c r="S28" s="42"/>
      <c r="T28" s="42"/>
      <c r="U28" s="42"/>
      <c r="V28" s="42"/>
      <c r="W28" s="42"/>
      <c r="X28" s="42" t="s">
        <v>4</v>
      </c>
      <c r="Y28" s="42" t="s">
        <v>4</v>
      </c>
      <c r="Z28" s="42" t="s">
        <v>4</v>
      </c>
      <c r="AA28" s="42"/>
    </row>
    <row r="29" ht="15.0" customHeight="1">
      <c r="A29" s="67" t="s">
        <v>136</v>
      </c>
      <c r="B29" s="67" t="s">
        <v>137</v>
      </c>
      <c r="C29" s="68">
        <v>396863.0</v>
      </c>
      <c r="D29" s="42" t="s">
        <v>78</v>
      </c>
      <c r="E29" s="42" t="s">
        <v>16</v>
      </c>
      <c r="F29" s="42"/>
      <c r="G29" s="42"/>
      <c r="I29" s="42"/>
      <c r="J29" s="42"/>
      <c r="K29" s="42"/>
      <c r="L29" s="42"/>
      <c r="M29" s="42"/>
      <c r="N29" s="42"/>
      <c r="O29" s="42"/>
      <c r="P29" s="42"/>
      <c r="Q29" s="42" t="s">
        <v>16</v>
      </c>
      <c r="R29" s="42"/>
      <c r="S29" s="42"/>
      <c r="T29" s="42"/>
      <c r="U29" s="42"/>
      <c r="V29" s="42"/>
      <c r="W29" s="42"/>
      <c r="X29" s="42" t="s">
        <v>4</v>
      </c>
      <c r="Y29" s="42" t="s">
        <v>4</v>
      </c>
      <c r="Z29" s="42" t="s">
        <v>4</v>
      </c>
      <c r="AA29" s="42"/>
    </row>
    <row r="30" ht="15.0" customHeight="1">
      <c r="A30" s="67" t="s">
        <v>138</v>
      </c>
      <c r="B30" s="67" t="s">
        <v>139</v>
      </c>
      <c r="C30" s="68">
        <v>300227.0</v>
      </c>
      <c r="D30" s="42" t="s">
        <v>78</v>
      </c>
      <c r="E30" s="42" t="s">
        <v>16</v>
      </c>
      <c r="F30" s="42"/>
      <c r="G30" s="42"/>
      <c r="I30" s="42"/>
      <c r="J30" s="42"/>
      <c r="K30" s="42"/>
      <c r="L30" s="42"/>
      <c r="M30" s="42"/>
      <c r="N30" s="42"/>
      <c r="O30" s="42"/>
      <c r="P30" s="42"/>
      <c r="Q30" s="42" t="s">
        <v>16</v>
      </c>
      <c r="R30" s="42"/>
      <c r="S30" s="42"/>
      <c r="T30" s="42"/>
      <c r="U30" s="42"/>
      <c r="V30" s="42"/>
      <c r="W30" s="42"/>
      <c r="X30" s="42" t="s">
        <v>4</v>
      </c>
      <c r="Y30" s="42" t="s">
        <v>4</v>
      </c>
      <c r="Z30" s="42" t="s">
        <v>4</v>
      </c>
      <c r="AA30" s="42"/>
    </row>
    <row r="31" ht="15.0" customHeight="1">
      <c r="A31" s="67" t="s">
        <v>140</v>
      </c>
      <c r="B31" s="67" t="s">
        <v>141</v>
      </c>
      <c r="C31" s="68">
        <v>397617.0</v>
      </c>
      <c r="D31" s="42" t="s">
        <v>78</v>
      </c>
      <c r="E31" s="42" t="s">
        <v>16</v>
      </c>
      <c r="F31" s="42"/>
      <c r="G31" s="42"/>
      <c r="I31" s="42"/>
      <c r="J31" s="42"/>
      <c r="K31" s="42"/>
      <c r="L31" s="42"/>
      <c r="M31" s="42"/>
      <c r="N31" s="42"/>
      <c r="O31" s="42"/>
      <c r="P31" s="42"/>
      <c r="Q31" s="42" t="s">
        <v>16</v>
      </c>
      <c r="R31" s="42"/>
      <c r="S31" s="42"/>
      <c r="T31" s="42"/>
      <c r="U31" s="42"/>
      <c r="V31" s="42"/>
      <c r="W31" s="42"/>
      <c r="X31" s="42" t="s">
        <v>4</v>
      </c>
      <c r="Y31" s="42" t="s">
        <v>4</v>
      </c>
      <c r="Z31" s="42" t="s">
        <v>4</v>
      </c>
      <c r="AA31" s="42"/>
    </row>
    <row r="32" ht="15.0" customHeight="1">
      <c r="A32" s="67" t="s">
        <v>142</v>
      </c>
      <c r="B32" s="67" t="s">
        <v>143</v>
      </c>
      <c r="C32" s="68">
        <v>347294.0</v>
      </c>
      <c r="D32" s="42" t="s">
        <v>78</v>
      </c>
      <c r="E32" s="42" t="s">
        <v>16</v>
      </c>
      <c r="F32" s="42"/>
      <c r="G32" s="42"/>
      <c r="I32" s="42"/>
      <c r="J32" s="42"/>
      <c r="K32" s="42"/>
      <c r="L32" s="42"/>
      <c r="M32" s="42"/>
      <c r="N32" s="42"/>
      <c r="O32" s="42"/>
      <c r="P32" s="42"/>
      <c r="Q32" s="42" t="s">
        <v>16</v>
      </c>
      <c r="R32" s="42"/>
      <c r="S32" s="42"/>
      <c r="T32" s="42"/>
      <c r="U32" s="42"/>
      <c r="V32" s="42"/>
      <c r="W32" s="42"/>
      <c r="X32" s="42" t="s">
        <v>4</v>
      </c>
      <c r="Y32" s="42" t="s">
        <v>4</v>
      </c>
      <c r="Z32" s="42" t="s">
        <v>4</v>
      </c>
      <c r="AA32" s="42"/>
    </row>
    <row r="33" ht="15.0" customHeight="1">
      <c r="A33" s="67" t="s">
        <v>144</v>
      </c>
      <c r="B33" s="67" t="s">
        <v>145</v>
      </c>
      <c r="C33" s="68">
        <v>371295.0</v>
      </c>
      <c r="D33" s="42" t="s">
        <v>78</v>
      </c>
      <c r="E33" s="42" t="s">
        <v>16</v>
      </c>
      <c r="F33" s="42"/>
      <c r="G33" s="42"/>
      <c r="I33" s="42"/>
      <c r="J33" s="42"/>
      <c r="K33" s="42"/>
      <c r="L33" s="42"/>
      <c r="M33" s="42"/>
      <c r="N33" s="42"/>
      <c r="O33" s="42"/>
      <c r="P33" s="42"/>
      <c r="Q33" s="42" t="s">
        <v>16</v>
      </c>
      <c r="R33" s="42"/>
      <c r="S33" s="42"/>
      <c r="T33" s="42"/>
      <c r="U33" s="42"/>
      <c r="V33" s="42"/>
      <c r="W33" s="42"/>
      <c r="X33" s="42" t="s">
        <v>4</v>
      </c>
      <c r="Y33" s="42" t="s">
        <v>4</v>
      </c>
      <c r="Z33" s="42" t="s">
        <v>4</v>
      </c>
      <c r="AA33" s="42"/>
    </row>
    <row r="34" ht="15.0" customHeight="1">
      <c r="A34" s="67" t="s">
        <v>146</v>
      </c>
      <c r="B34" s="67" t="s">
        <v>147</v>
      </c>
      <c r="C34" s="68">
        <v>397159.0</v>
      </c>
      <c r="D34" s="42" t="s">
        <v>78</v>
      </c>
      <c r="E34" s="42" t="s">
        <v>16</v>
      </c>
      <c r="F34" s="42"/>
      <c r="G34" s="42"/>
      <c r="I34" s="42"/>
      <c r="J34" s="42"/>
      <c r="K34" s="42"/>
      <c r="L34" s="42"/>
      <c r="M34" s="42"/>
      <c r="N34" s="42"/>
      <c r="O34" s="42"/>
      <c r="P34" s="42"/>
      <c r="Q34" s="42" t="s">
        <v>16</v>
      </c>
      <c r="R34" s="42"/>
      <c r="S34" s="42"/>
      <c r="T34" s="42"/>
      <c r="U34" s="42"/>
      <c r="V34" s="42"/>
      <c r="W34" s="42"/>
      <c r="X34" s="42" t="s">
        <v>4</v>
      </c>
      <c r="Y34" s="42" t="s">
        <v>4</v>
      </c>
      <c r="Z34" s="42" t="s">
        <v>4</v>
      </c>
      <c r="AA34" s="42"/>
    </row>
    <row r="35" ht="15.0" customHeight="1">
      <c r="A35" s="67" t="s">
        <v>148</v>
      </c>
      <c r="B35" s="67" t="s">
        <v>149</v>
      </c>
      <c r="C35" s="68">
        <v>397521.0</v>
      </c>
      <c r="D35" s="42" t="s">
        <v>78</v>
      </c>
      <c r="E35" s="42" t="s">
        <v>16</v>
      </c>
      <c r="F35" s="42"/>
      <c r="G35" s="42"/>
      <c r="I35" s="42"/>
      <c r="J35" s="42"/>
      <c r="K35" s="42"/>
      <c r="L35" s="42"/>
      <c r="M35" s="42"/>
      <c r="N35" s="42"/>
      <c r="O35" s="42"/>
      <c r="P35" s="42"/>
      <c r="Q35" s="42" t="s">
        <v>16</v>
      </c>
      <c r="R35" s="42"/>
      <c r="S35" s="42"/>
      <c r="T35" s="42"/>
      <c r="U35" s="42"/>
      <c r="V35" s="42"/>
      <c r="W35" s="42"/>
      <c r="X35" s="42" t="s">
        <v>4</v>
      </c>
      <c r="Y35" s="42" t="s">
        <v>4</v>
      </c>
      <c r="Z35" s="42" t="s">
        <v>4</v>
      </c>
      <c r="AA35" s="42"/>
    </row>
    <row r="36" ht="15.0" customHeight="1">
      <c r="A36" s="67" t="s">
        <v>150</v>
      </c>
      <c r="B36" s="67" t="s">
        <v>151</v>
      </c>
      <c r="C36" s="68">
        <v>395368.0</v>
      </c>
      <c r="D36" s="42" t="s">
        <v>78</v>
      </c>
      <c r="E36" s="42" t="s">
        <v>16</v>
      </c>
      <c r="F36" s="42"/>
      <c r="G36" s="42"/>
      <c r="I36" s="42"/>
      <c r="J36" s="42"/>
      <c r="K36" s="42"/>
      <c r="L36" s="42"/>
      <c r="M36" s="42"/>
      <c r="N36" s="42"/>
      <c r="O36" s="42"/>
      <c r="P36" s="42"/>
      <c r="Q36" s="42" t="s">
        <v>16</v>
      </c>
      <c r="R36" s="42"/>
      <c r="S36" s="42"/>
      <c r="T36" s="42"/>
      <c r="U36" s="42"/>
      <c r="V36" s="42"/>
      <c r="W36" s="42"/>
      <c r="X36" s="42" t="s">
        <v>4</v>
      </c>
      <c r="Y36" s="42" t="s">
        <v>4</v>
      </c>
      <c r="Z36" s="42" t="s">
        <v>4</v>
      </c>
      <c r="AA36" s="42"/>
    </row>
    <row r="37" ht="15.0" customHeight="1">
      <c r="A37" s="67" t="s">
        <v>152</v>
      </c>
      <c r="B37" s="67" t="s">
        <v>153</v>
      </c>
      <c r="C37" s="68">
        <v>371776.0</v>
      </c>
      <c r="D37" s="42" t="s">
        <v>78</v>
      </c>
      <c r="E37" s="42" t="s">
        <v>16</v>
      </c>
      <c r="F37" s="42"/>
      <c r="G37" s="42"/>
      <c r="I37" s="42"/>
      <c r="J37" s="42"/>
      <c r="K37" s="42"/>
      <c r="L37" s="42"/>
      <c r="M37" s="42"/>
      <c r="N37" s="42"/>
      <c r="O37" s="42"/>
      <c r="P37" s="42"/>
      <c r="Q37" s="42" t="s">
        <v>16</v>
      </c>
      <c r="R37" s="42"/>
      <c r="S37" s="42"/>
      <c r="T37" s="42"/>
      <c r="U37" s="42"/>
      <c r="V37" s="42"/>
      <c r="W37" s="42"/>
      <c r="X37" s="42" t="s">
        <v>4</v>
      </c>
      <c r="Y37" s="42" t="s">
        <v>4</v>
      </c>
      <c r="Z37" s="42" t="s">
        <v>4</v>
      </c>
      <c r="AA37" s="42"/>
    </row>
    <row r="38" ht="15.0" customHeight="1">
      <c r="A38" s="67" t="s">
        <v>126</v>
      </c>
      <c r="B38" s="67" t="s">
        <v>154</v>
      </c>
      <c r="C38" s="68">
        <v>351694.0</v>
      </c>
      <c r="D38" s="42" t="s">
        <v>78</v>
      </c>
      <c r="E38" s="42" t="s">
        <v>16</v>
      </c>
      <c r="F38" s="42"/>
      <c r="G38" s="42"/>
      <c r="I38" s="42"/>
      <c r="J38" s="42"/>
      <c r="K38" s="42"/>
      <c r="L38" s="42"/>
      <c r="M38" s="42"/>
      <c r="N38" s="42"/>
      <c r="O38" s="42"/>
      <c r="P38" s="42"/>
      <c r="Q38" s="42" t="s">
        <v>16</v>
      </c>
      <c r="R38" s="42"/>
      <c r="S38" s="42"/>
      <c r="T38" s="42"/>
      <c r="U38" s="42"/>
      <c r="V38" s="42"/>
      <c r="W38" s="42"/>
      <c r="X38" s="42" t="s">
        <v>4</v>
      </c>
      <c r="Y38" s="42" t="s">
        <v>4</v>
      </c>
      <c r="Z38" s="42" t="s">
        <v>4</v>
      </c>
      <c r="AA38" s="42"/>
    </row>
    <row r="39" ht="15.0" customHeight="1">
      <c r="A39" s="67" t="s">
        <v>155</v>
      </c>
      <c r="B39" s="67" t="s">
        <v>156</v>
      </c>
      <c r="C39" s="68">
        <v>383828.0</v>
      </c>
      <c r="D39" s="42" t="s">
        <v>78</v>
      </c>
      <c r="E39" s="42" t="s">
        <v>16</v>
      </c>
      <c r="F39" s="42"/>
      <c r="G39" s="42"/>
      <c r="I39" s="42"/>
      <c r="J39" s="42"/>
      <c r="K39" s="42"/>
      <c r="L39" s="42"/>
      <c r="M39" s="42"/>
      <c r="N39" s="42"/>
      <c r="O39" s="42"/>
      <c r="P39" s="42"/>
      <c r="Q39" s="42" t="s">
        <v>16</v>
      </c>
      <c r="R39" s="42"/>
      <c r="S39" s="42"/>
      <c r="T39" s="42"/>
      <c r="U39" s="42"/>
      <c r="V39" s="42"/>
      <c r="W39" s="42"/>
      <c r="X39" s="42" t="s">
        <v>4</v>
      </c>
      <c r="Y39" s="42" t="s">
        <v>4</v>
      </c>
      <c r="Z39" s="42" t="s">
        <v>4</v>
      </c>
      <c r="AA39" s="42"/>
    </row>
    <row r="40" ht="15.0" customHeight="1">
      <c r="A40" s="67" t="s">
        <v>157</v>
      </c>
      <c r="B40" s="67" t="s">
        <v>158</v>
      </c>
      <c r="C40" s="68">
        <v>380685.0</v>
      </c>
      <c r="D40" s="42" t="s">
        <v>78</v>
      </c>
      <c r="E40" s="42" t="s">
        <v>16</v>
      </c>
      <c r="F40" s="42"/>
      <c r="G40" s="42"/>
      <c r="I40" s="42"/>
      <c r="J40" s="42"/>
      <c r="K40" s="42"/>
      <c r="L40" s="42"/>
      <c r="M40" s="42"/>
      <c r="N40" s="42"/>
      <c r="O40" s="42"/>
      <c r="P40" s="42"/>
      <c r="Q40" s="42" t="s">
        <v>16</v>
      </c>
      <c r="R40" s="42"/>
      <c r="S40" s="42"/>
      <c r="T40" s="42"/>
      <c r="U40" s="42"/>
      <c r="V40" s="42"/>
      <c r="W40" s="42"/>
      <c r="X40" s="42" t="s">
        <v>4</v>
      </c>
      <c r="Y40" s="42" t="s">
        <v>4</v>
      </c>
      <c r="Z40" s="42" t="s">
        <v>4</v>
      </c>
      <c r="AA40" s="42"/>
    </row>
    <row r="41" ht="15.0" customHeight="1">
      <c r="A41" s="67" t="s">
        <v>159</v>
      </c>
      <c r="B41" s="67" t="s">
        <v>160</v>
      </c>
      <c r="C41" s="68">
        <v>390977.0</v>
      </c>
      <c r="D41" s="42" t="s">
        <v>78</v>
      </c>
      <c r="E41" s="42" t="s">
        <v>16</v>
      </c>
      <c r="F41" s="42"/>
      <c r="G41" s="42"/>
      <c r="I41" s="42"/>
      <c r="J41" s="42"/>
      <c r="K41" s="42"/>
      <c r="L41" s="42"/>
      <c r="M41" s="42"/>
      <c r="N41" s="42"/>
      <c r="O41" s="42"/>
      <c r="P41" s="42"/>
      <c r="Q41" s="42" t="s">
        <v>16</v>
      </c>
      <c r="R41" s="42"/>
      <c r="S41" s="42"/>
      <c r="T41" s="42"/>
      <c r="U41" s="42"/>
      <c r="V41" s="42"/>
      <c r="W41" s="42"/>
      <c r="X41" s="42" t="s">
        <v>4</v>
      </c>
      <c r="Y41" s="42" t="s">
        <v>4</v>
      </c>
      <c r="Z41" s="42" t="s">
        <v>4</v>
      </c>
      <c r="AA41" s="42"/>
    </row>
    <row r="42" ht="15.0" customHeight="1">
      <c r="A42" s="57" t="s">
        <v>99</v>
      </c>
      <c r="B42" s="57" t="s">
        <v>100</v>
      </c>
      <c r="C42" s="58">
        <v>353303.0</v>
      </c>
      <c r="D42" s="42" t="s">
        <v>68</v>
      </c>
      <c r="E42" s="42" t="s">
        <v>16</v>
      </c>
      <c r="F42" s="42"/>
      <c r="G42" s="42"/>
      <c r="I42" s="42"/>
      <c r="J42" s="42"/>
      <c r="K42" s="42"/>
      <c r="L42" s="42"/>
      <c r="M42" s="42"/>
      <c r="N42" s="42"/>
      <c r="O42" s="42"/>
      <c r="P42" s="42"/>
      <c r="Q42" s="42" t="s">
        <v>16</v>
      </c>
      <c r="R42" s="42"/>
      <c r="S42" s="42"/>
      <c r="T42" s="42"/>
      <c r="U42" s="42"/>
      <c r="V42" s="42"/>
      <c r="W42" s="42"/>
      <c r="X42" s="42" t="s">
        <v>4</v>
      </c>
      <c r="Y42" s="42" t="s">
        <v>4</v>
      </c>
      <c r="Z42" s="42" t="s">
        <v>4</v>
      </c>
      <c r="AA42" s="42"/>
    </row>
    <row r="43" ht="15.0" customHeight="1">
      <c r="A43" s="60" t="s">
        <v>115</v>
      </c>
      <c r="B43" s="60" t="s">
        <v>116</v>
      </c>
      <c r="C43" s="61">
        <v>254387.0</v>
      </c>
      <c r="D43" s="42" t="s">
        <v>68</v>
      </c>
      <c r="E43" s="42" t="s">
        <v>16</v>
      </c>
      <c r="F43" s="42"/>
      <c r="G43" s="42"/>
      <c r="I43" s="42"/>
      <c r="J43" s="42"/>
      <c r="K43" s="42"/>
      <c r="L43" s="42"/>
      <c r="M43" s="42"/>
      <c r="N43" s="42"/>
      <c r="O43" s="42"/>
      <c r="P43" s="42"/>
      <c r="Q43" s="42" t="s">
        <v>16</v>
      </c>
      <c r="R43" s="42"/>
      <c r="S43" s="42"/>
      <c r="T43" s="42"/>
      <c r="U43" s="42"/>
      <c r="V43" s="42"/>
      <c r="W43" s="42"/>
      <c r="X43" s="42" t="s">
        <v>4</v>
      </c>
      <c r="Y43" s="42" t="s">
        <v>4</v>
      </c>
      <c r="Z43" s="42" t="s">
        <v>4</v>
      </c>
      <c r="AA43" s="42"/>
    </row>
    <row r="44" ht="30.0" customHeight="1">
      <c r="A44" s="46"/>
      <c r="B44" s="46"/>
      <c r="C44" s="47"/>
      <c r="D44" s="48" t="s">
        <v>94</v>
      </c>
      <c r="E44" s="49">
        <f>IF((COUNTIF(#REF!,"*P*") + COUNTIF(#REF!, "*L*")) &gt;= 0, COUNTIF(#REF!,"*P*") + COUNTIF(#REF!, "*L*"), "")</f>
        <v>0</v>
      </c>
      <c r="F44" s="49">
        <f t="shared" ref="F44:G44" si="2">IF((COUNTIF(F8:F27,"*P*") + COUNTIF(F8:F27, "*L*")) &gt;= 0, COUNTIF(F8:F27,"*P*") + COUNTIF(F8:F27, "*L*"), "")</f>
        <v>9</v>
      </c>
      <c r="G44" s="49">
        <f t="shared" si="2"/>
        <v>9</v>
      </c>
      <c r="H44" s="49">
        <f>IF((COUNTIF(E8:E27,"*P*") + COUNTIF(E8:E27, "*L*")) &gt;= 0, COUNTIF(E8:E27,"*P*") + COUNTIF(E8:E27, "*L*"), "")</f>
        <v>0</v>
      </c>
      <c r="I44" s="49">
        <f t="shared" ref="I44:AA44" si="3">IF((COUNTIF(I8:I27,"*P*") + COUNTIF(I8:I27, "*L*")) &gt;= 0, COUNTIF(I8:I27,"*P*") + COUNTIF(I8:I27, "*L*"), "")</f>
        <v>9</v>
      </c>
      <c r="J44" s="49">
        <f t="shared" si="3"/>
        <v>9</v>
      </c>
      <c r="K44" s="49">
        <f t="shared" si="3"/>
        <v>0</v>
      </c>
      <c r="L44" s="49">
        <f t="shared" si="3"/>
        <v>0</v>
      </c>
      <c r="M44" s="49">
        <f t="shared" si="3"/>
        <v>0</v>
      </c>
      <c r="N44" s="49">
        <f t="shared" si="3"/>
        <v>0</v>
      </c>
      <c r="O44" s="49">
        <f t="shared" si="3"/>
        <v>0</v>
      </c>
      <c r="P44" s="49">
        <f t="shared" si="3"/>
        <v>0</v>
      </c>
      <c r="Q44" s="49">
        <f t="shared" si="3"/>
        <v>0</v>
      </c>
      <c r="R44" s="49">
        <f t="shared" si="3"/>
        <v>0</v>
      </c>
      <c r="S44" s="49">
        <f t="shared" si="3"/>
        <v>0</v>
      </c>
      <c r="T44" s="49">
        <f t="shared" si="3"/>
        <v>0</v>
      </c>
      <c r="U44" s="49">
        <f t="shared" si="3"/>
        <v>0</v>
      </c>
      <c r="V44" s="49">
        <f t="shared" si="3"/>
        <v>0</v>
      </c>
      <c r="W44" s="49">
        <f t="shared" si="3"/>
        <v>0</v>
      </c>
      <c r="X44" s="49">
        <f t="shared" si="3"/>
        <v>8</v>
      </c>
      <c r="Y44" s="49">
        <f t="shared" si="3"/>
        <v>8</v>
      </c>
      <c r="Z44" s="49">
        <f t="shared" si="3"/>
        <v>8</v>
      </c>
      <c r="AA44" s="49">
        <f t="shared" si="3"/>
        <v>0</v>
      </c>
    </row>
    <row r="45" ht="30.0" customHeight="1">
      <c r="A45" s="50"/>
      <c r="B45" s="51"/>
      <c r="C45" s="52"/>
      <c r="D45" s="53" t="s">
        <v>95</v>
      </c>
      <c r="E45" s="54">
        <f>IF((COUNTIF(#REF!,"*A*") + COUNTIF(#REF!, "*E*")) &gt;= 0, COUNTIF(#REF!,"*A*") + COUNTIF(#REF!, "*E*"), "")</f>
        <v>0</v>
      </c>
      <c r="F45" s="54">
        <f t="shared" ref="F45:G45" si="4">IF((COUNTIF(F8:F27,"*A*") + COUNTIF(F8:F27, "*E*")) &gt;= 0, COUNTIF(F8:F27,"*A*") + COUNTIF(F8:F27, "*E*"), "")</f>
        <v>0</v>
      </c>
      <c r="G45" s="54">
        <f t="shared" si="4"/>
        <v>0</v>
      </c>
      <c r="H45" s="54">
        <f>IF((COUNTIF(E8:E27,"*A*") + COUNTIF(E8:E27, "*E*")) &gt;= 0, COUNTIF(E8:E27,"*A*") + COUNTIF(E8:E27, "*E*"), "")</f>
        <v>0</v>
      </c>
      <c r="I45" s="54">
        <f t="shared" ref="I45:AA45" si="5">IF((COUNTIF(I8:I27,"*A*") + COUNTIF(I8:I27, "*E*")) &gt;= 0, COUNTIF(I8:I27,"*A*") + COUNTIF(I8:I27, "*E*"), "")</f>
        <v>0</v>
      </c>
      <c r="J45" s="54">
        <f t="shared" si="5"/>
        <v>0</v>
      </c>
      <c r="K45" s="54">
        <f t="shared" si="5"/>
        <v>0</v>
      </c>
      <c r="L45" s="54">
        <f t="shared" si="5"/>
        <v>0</v>
      </c>
      <c r="M45" s="54">
        <f t="shared" si="5"/>
        <v>0</v>
      </c>
      <c r="N45" s="54">
        <f t="shared" si="5"/>
        <v>0</v>
      </c>
      <c r="O45" s="54">
        <f t="shared" si="5"/>
        <v>0</v>
      </c>
      <c r="P45" s="54">
        <f t="shared" si="5"/>
        <v>0</v>
      </c>
      <c r="Q45" s="54">
        <f t="shared" si="5"/>
        <v>0</v>
      </c>
      <c r="R45" s="54">
        <f t="shared" si="5"/>
        <v>0</v>
      </c>
      <c r="S45" s="54">
        <f t="shared" si="5"/>
        <v>0</v>
      </c>
      <c r="T45" s="54">
        <f t="shared" si="5"/>
        <v>0</v>
      </c>
      <c r="U45" s="54">
        <f t="shared" si="5"/>
        <v>0</v>
      </c>
      <c r="V45" s="54">
        <f t="shared" si="5"/>
        <v>0</v>
      </c>
      <c r="W45" s="54">
        <f t="shared" si="5"/>
        <v>0</v>
      </c>
      <c r="X45" s="54">
        <f t="shared" si="5"/>
        <v>0</v>
      </c>
      <c r="Y45" s="54">
        <f t="shared" si="5"/>
        <v>0</v>
      </c>
      <c r="Z45" s="54">
        <f t="shared" si="5"/>
        <v>0</v>
      </c>
      <c r="AA45" s="54">
        <f t="shared" si="5"/>
        <v>0</v>
      </c>
    </row>
    <row r="46" ht="30.0" customHeight="1">
      <c r="A46" s="50"/>
      <c r="B46" s="51"/>
      <c r="C46" s="52"/>
      <c r="D46" s="53" t="s">
        <v>49</v>
      </c>
      <c r="E46" s="55">
        <f t="shared" ref="E46:AA46" si="6">SUM(E44+E45)</f>
        <v>0</v>
      </c>
      <c r="F46" s="55">
        <f t="shared" si="6"/>
        <v>9</v>
      </c>
      <c r="G46" s="55">
        <f t="shared" si="6"/>
        <v>9</v>
      </c>
      <c r="H46" s="55">
        <f t="shared" si="6"/>
        <v>0</v>
      </c>
      <c r="I46" s="55">
        <f t="shared" si="6"/>
        <v>9</v>
      </c>
      <c r="J46" s="55">
        <f t="shared" si="6"/>
        <v>9</v>
      </c>
      <c r="K46" s="55">
        <f t="shared" si="6"/>
        <v>0</v>
      </c>
      <c r="L46" s="55">
        <f t="shared" si="6"/>
        <v>0</v>
      </c>
      <c r="M46" s="55">
        <f t="shared" si="6"/>
        <v>0</v>
      </c>
      <c r="N46" s="55">
        <f t="shared" si="6"/>
        <v>0</v>
      </c>
      <c r="O46" s="55">
        <f t="shared" si="6"/>
        <v>0</v>
      </c>
      <c r="P46" s="55">
        <f t="shared" si="6"/>
        <v>0</v>
      </c>
      <c r="Q46" s="55">
        <f t="shared" si="6"/>
        <v>0</v>
      </c>
      <c r="R46" s="55">
        <f t="shared" si="6"/>
        <v>0</v>
      </c>
      <c r="S46" s="55">
        <f t="shared" si="6"/>
        <v>0</v>
      </c>
      <c r="T46" s="55">
        <f t="shared" si="6"/>
        <v>0</v>
      </c>
      <c r="U46" s="55">
        <f t="shared" si="6"/>
        <v>0</v>
      </c>
      <c r="V46" s="55">
        <f t="shared" si="6"/>
        <v>0</v>
      </c>
      <c r="W46" s="55">
        <f t="shared" si="6"/>
        <v>0</v>
      </c>
      <c r="X46" s="55">
        <f t="shared" si="6"/>
        <v>8</v>
      </c>
      <c r="Y46" s="55">
        <f t="shared" si="6"/>
        <v>8</v>
      </c>
      <c r="Z46" s="55">
        <f t="shared" si="6"/>
        <v>8</v>
      </c>
      <c r="AA46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44 C44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43">
    <cfRule type="cellIs" dxfId="0" priority="4" operator="equal">
      <formula>"S"</formula>
    </cfRule>
  </conditionalFormatting>
  <conditionalFormatting sqref="E8:AA43">
    <cfRule type="cellIs" dxfId="1" priority="5" operator="equal">
      <formula>"N"</formula>
    </cfRule>
  </conditionalFormatting>
  <conditionalFormatting sqref="E8:AA43">
    <cfRule type="cellIs" dxfId="2" priority="6" operator="equal">
      <formula>"D"</formula>
    </cfRule>
  </conditionalFormatting>
  <conditionalFormatting sqref="E8:AA43">
    <cfRule type="cellIs" dxfId="9" priority="7" operator="equal">
      <formula>"R"</formula>
    </cfRule>
  </conditionalFormatting>
  <conditionalFormatting sqref="E8:AA43">
    <cfRule type="cellIs" dxfId="4" priority="8" operator="equal">
      <formula>"H"</formula>
    </cfRule>
  </conditionalFormatting>
  <conditionalFormatting sqref="E8:AA43">
    <cfRule type="cellIs" dxfId="5" priority="9" operator="equal">
      <formula>"E"</formula>
    </cfRule>
  </conditionalFormatting>
  <conditionalFormatting sqref="E8:AA43">
    <cfRule type="cellIs" dxfId="10" priority="10" operator="equal">
      <formula>"L"</formula>
    </cfRule>
  </conditionalFormatting>
  <conditionalFormatting sqref="E8:AA43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43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19</v>
      </c>
      <c r="K2" s="29" t="s">
        <v>37</v>
      </c>
      <c r="N2" s="33">
        <f t="shared" ref="N2:N3" si="1">SUM(E37:AA37)</f>
        <v>451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5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sum(E39:AA39)</f>
        <v>456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>
        <f>SUM(N2/N4)</f>
        <v>0.9890350877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/>
      <c r="Z6" s="36"/>
      <c r="AA6" s="36"/>
    </row>
    <row r="7" ht="18.75" customHeight="1">
      <c r="A7" s="69" t="s">
        <v>63</v>
      </c>
      <c r="B7" s="69" t="s">
        <v>62</v>
      </c>
      <c r="C7" s="38" t="s">
        <v>64</v>
      </c>
      <c r="D7" s="39" t="s">
        <v>65</v>
      </c>
      <c r="E7" s="40">
        <v>46055.0</v>
      </c>
      <c r="F7" s="40">
        <v>46056.0</v>
      </c>
      <c r="G7" s="40">
        <v>46057.0</v>
      </c>
      <c r="H7" s="40">
        <v>46058.0</v>
      </c>
      <c r="I7" s="40">
        <v>46059.0</v>
      </c>
      <c r="J7" s="40">
        <v>46062.0</v>
      </c>
      <c r="K7" s="40">
        <v>46063.0</v>
      </c>
      <c r="L7" s="40">
        <v>46064.0</v>
      </c>
      <c r="M7" s="40">
        <v>46065.0</v>
      </c>
      <c r="N7" s="40">
        <v>46066.0</v>
      </c>
      <c r="O7" s="40">
        <v>46069.0</v>
      </c>
      <c r="P7" s="40">
        <v>46070.0</v>
      </c>
      <c r="Q7" s="40">
        <v>46071.0</v>
      </c>
      <c r="R7" s="40">
        <v>46072.0</v>
      </c>
      <c r="S7" s="40">
        <v>46073.0</v>
      </c>
      <c r="T7" s="40">
        <v>46076.0</v>
      </c>
      <c r="U7" s="40">
        <v>46077.0</v>
      </c>
      <c r="V7" s="40">
        <v>46078.0</v>
      </c>
      <c r="W7" s="40">
        <v>46079.0</v>
      </c>
      <c r="X7" s="40">
        <v>46080.0</v>
      </c>
      <c r="Y7" s="40"/>
      <c r="Z7" s="40"/>
      <c r="AA7" s="40"/>
    </row>
    <row r="8" ht="15.0" customHeight="1">
      <c r="A8" s="62" t="s">
        <v>117</v>
      </c>
      <c r="B8" s="63"/>
      <c r="C8" s="64"/>
      <c r="D8" s="64"/>
      <c r="E8" s="42"/>
      <c r="F8" s="42"/>
      <c r="G8" s="42"/>
      <c r="H8" s="42"/>
      <c r="I8" s="42"/>
      <c r="J8" s="42"/>
      <c r="K8" s="42"/>
      <c r="L8" s="42"/>
      <c r="M8" s="42"/>
      <c r="N8" s="42"/>
      <c r="O8" s="42" t="s">
        <v>16</v>
      </c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65" t="s">
        <v>118</v>
      </c>
      <c r="B9" s="65" t="s">
        <v>119</v>
      </c>
      <c r="C9" s="66">
        <v>368523.0</v>
      </c>
      <c r="D9" s="42" t="s">
        <v>78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16</v>
      </c>
      <c r="P9" s="42" t="s">
        <v>4</v>
      </c>
      <c r="Q9" s="42" t="s">
        <v>161</v>
      </c>
      <c r="R9" s="42" t="s">
        <v>4</v>
      </c>
      <c r="S9" s="42" t="s">
        <v>4</v>
      </c>
      <c r="T9" s="42" t="s">
        <v>10</v>
      </c>
      <c r="U9" s="42" t="s">
        <v>4</v>
      </c>
      <c r="V9" s="42" t="s">
        <v>4</v>
      </c>
      <c r="W9" s="42" t="s">
        <v>4</v>
      </c>
      <c r="X9" s="42" t="s">
        <v>4</v>
      </c>
      <c r="Y9" s="42"/>
      <c r="Z9" s="42"/>
      <c r="AA9" s="42"/>
    </row>
    <row r="10" ht="15.0" customHeight="1">
      <c r="A10" s="65" t="s">
        <v>120</v>
      </c>
      <c r="B10" s="65" t="s">
        <v>121</v>
      </c>
      <c r="C10" s="66">
        <v>384445.0</v>
      </c>
      <c r="D10" s="42" t="s">
        <v>78</v>
      </c>
      <c r="E10" s="42" t="s">
        <v>4</v>
      </c>
      <c r="F10" s="42" t="s">
        <v>4</v>
      </c>
      <c r="G10" s="42" t="s">
        <v>4</v>
      </c>
      <c r="H10" s="42" t="s">
        <v>4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16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4</v>
      </c>
      <c r="V10" s="42" t="s">
        <v>4</v>
      </c>
      <c r="W10" s="42" t="s">
        <v>4</v>
      </c>
      <c r="X10" s="42" t="s">
        <v>4</v>
      </c>
      <c r="Y10" s="42"/>
      <c r="Z10" s="42"/>
      <c r="AA10" s="42"/>
    </row>
    <row r="11" ht="15.0" customHeight="1">
      <c r="A11" s="65" t="s">
        <v>122</v>
      </c>
      <c r="B11" s="65" t="s">
        <v>123</v>
      </c>
      <c r="C11" s="66">
        <v>380027.0</v>
      </c>
      <c r="D11" s="42" t="s">
        <v>78</v>
      </c>
      <c r="E11" s="42" t="s">
        <v>4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16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4</v>
      </c>
      <c r="W11" s="42" t="s">
        <v>4</v>
      </c>
      <c r="X11" s="42" t="s">
        <v>4</v>
      </c>
      <c r="Y11" s="42"/>
      <c r="Z11" s="42"/>
      <c r="AA11" s="42"/>
    </row>
    <row r="12" ht="15.0" customHeight="1">
      <c r="A12" s="65" t="s">
        <v>124</v>
      </c>
      <c r="B12" s="65" t="s">
        <v>125</v>
      </c>
      <c r="C12" s="66">
        <v>396947.0</v>
      </c>
      <c r="D12" s="42" t="s">
        <v>78</v>
      </c>
      <c r="E12" s="42" t="s">
        <v>4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16</v>
      </c>
      <c r="P12" s="42" t="s">
        <v>4</v>
      </c>
      <c r="Q12" s="42" t="s">
        <v>4</v>
      </c>
      <c r="R12" s="42" t="s">
        <v>4</v>
      </c>
      <c r="S12" s="42" t="s">
        <v>4</v>
      </c>
      <c r="T12" s="42" t="s">
        <v>4</v>
      </c>
      <c r="U12" s="42" t="s">
        <v>4</v>
      </c>
      <c r="V12" s="42" t="s">
        <v>4</v>
      </c>
      <c r="W12" s="42" t="s">
        <v>4</v>
      </c>
      <c r="X12" s="42" t="s">
        <v>4</v>
      </c>
      <c r="Y12" s="42"/>
      <c r="Z12" s="42"/>
      <c r="AA12" s="42"/>
    </row>
    <row r="13" ht="15.0" customHeight="1">
      <c r="A13" s="65" t="s">
        <v>126</v>
      </c>
      <c r="B13" s="65" t="s">
        <v>127</v>
      </c>
      <c r="C13" s="66">
        <v>341113.0</v>
      </c>
      <c r="D13" s="42" t="s">
        <v>78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16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4</v>
      </c>
      <c r="W13" s="42" t="s">
        <v>4</v>
      </c>
      <c r="X13" s="42" t="s">
        <v>4</v>
      </c>
      <c r="Y13" s="42"/>
      <c r="Z13" s="42"/>
      <c r="AA13" s="42"/>
    </row>
    <row r="14" ht="15.0" customHeight="1">
      <c r="A14" s="67" t="s">
        <v>128</v>
      </c>
      <c r="B14" s="67" t="s">
        <v>129</v>
      </c>
      <c r="C14" s="68">
        <v>388724.0</v>
      </c>
      <c r="D14" s="42" t="s">
        <v>78</v>
      </c>
      <c r="E14" s="42" t="s">
        <v>4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16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4</v>
      </c>
      <c r="W14" s="42" t="s">
        <v>4</v>
      </c>
      <c r="X14" s="42" t="s">
        <v>4</v>
      </c>
      <c r="Y14" s="42"/>
      <c r="Z14" s="42"/>
      <c r="AA14" s="42"/>
    </row>
    <row r="15" ht="15.0" customHeight="1">
      <c r="A15" s="67" t="s">
        <v>130</v>
      </c>
      <c r="B15" s="67" t="s">
        <v>131</v>
      </c>
      <c r="C15" s="68">
        <v>397231.0</v>
      </c>
      <c r="D15" s="42" t="s">
        <v>78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16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4</v>
      </c>
      <c r="W15" s="42" t="s">
        <v>4</v>
      </c>
      <c r="X15" s="42" t="s">
        <v>4</v>
      </c>
      <c r="Y15" s="42"/>
      <c r="Z15" s="42"/>
      <c r="AA15" s="42"/>
    </row>
    <row r="16" ht="15.0" customHeight="1">
      <c r="A16" s="67" t="s">
        <v>132</v>
      </c>
      <c r="B16" s="67" t="s">
        <v>133</v>
      </c>
      <c r="C16" s="68">
        <v>332229.0</v>
      </c>
      <c r="D16" s="42" t="s">
        <v>78</v>
      </c>
      <c r="E16" s="42" t="s">
        <v>4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16</v>
      </c>
      <c r="P16" s="42" t="s">
        <v>4</v>
      </c>
      <c r="Q16" s="42" t="s">
        <v>4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4</v>
      </c>
      <c r="W16" s="42" t="s">
        <v>4</v>
      </c>
      <c r="X16" s="42" t="s">
        <v>4</v>
      </c>
      <c r="Y16" s="42"/>
      <c r="Z16" s="42"/>
      <c r="AA16" s="42"/>
    </row>
    <row r="17" ht="15.0" customHeight="1">
      <c r="A17" s="67" t="s">
        <v>134</v>
      </c>
      <c r="B17" s="67" t="s">
        <v>135</v>
      </c>
      <c r="C17" s="68">
        <v>390285.0</v>
      </c>
      <c r="D17" s="42" t="s">
        <v>78</v>
      </c>
      <c r="E17" s="42" t="s">
        <v>4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4</v>
      </c>
      <c r="L17" s="42" t="s">
        <v>4</v>
      </c>
      <c r="M17" s="42" t="s">
        <v>4</v>
      </c>
      <c r="N17" s="42" t="s">
        <v>4</v>
      </c>
      <c r="O17" s="42" t="s">
        <v>16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4</v>
      </c>
      <c r="W17" s="42" t="s">
        <v>4</v>
      </c>
      <c r="X17" s="42" t="s">
        <v>4</v>
      </c>
      <c r="Y17" s="42"/>
      <c r="Z17" s="42"/>
      <c r="AA17" s="42"/>
    </row>
    <row r="18" ht="15.0" customHeight="1">
      <c r="A18" s="67" t="s">
        <v>136</v>
      </c>
      <c r="B18" s="67" t="s">
        <v>137</v>
      </c>
      <c r="C18" s="68">
        <v>396863.0</v>
      </c>
      <c r="D18" s="42" t="s">
        <v>78</v>
      </c>
      <c r="E18" s="42" t="s">
        <v>4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4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16</v>
      </c>
      <c r="P18" s="42" t="s">
        <v>4</v>
      </c>
      <c r="Q18" s="42" t="s">
        <v>4</v>
      </c>
      <c r="R18" s="42" t="s">
        <v>4</v>
      </c>
      <c r="S18" s="42" t="s">
        <v>4</v>
      </c>
      <c r="T18" s="42" t="s">
        <v>4</v>
      </c>
      <c r="U18" s="42" t="s">
        <v>4</v>
      </c>
      <c r="V18" s="42" t="s">
        <v>4</v>
      </c>
      <c r="W18" s="42" t="s">
        <v>4</v>
      </c>
      <c r="X18" s="42" t="s">
        <v>4</v>
      </c>
      <c r="Y18" s="42"/>
      <c r="Z18" s="42"/>
      <c r="AA18" s="42"/>
    </row>
    <row r="19" ht="15.0" customHeight="1">
      <c r="A19" s="67" t="s">
        <v>138</v>
      </c>
      <c r="B19" s="67" t="s">
        <v>139</v>
      </c>
      <c r="C19" s="68">
        <v>300227.0</v>
      </c>
      <c r="D19" s="42" t="s">
        <v>78</v>
      </c>
      <c r="E19" s="42" t="s">
        <v>4</v>
      </c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16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4</v>
      </c>
      <c r="W19" s="42" t="s">
        <v>4</v>
      </c>
      <c r="X19" s="42" t="s">
        <v>4</v>
      </c>
      <c r="Y19" s="42"/>
      <c r="Z19" s="42"/>
      <c r="AA19" s="42"/>
    </row>
    <row r="20" ht="15.0" customHeight="1">
      <c r="A20" s="67" t="s">
        <v>140</v>
      </c>
      <c r="B20" s="67" t="s">
        <v>141</v>
      </c>
      <c r="C20" s="68">
        <v>397617.0</v>
      </c>
      <c r="D20" s="42" t="s">
        <v>78</v>
      </c>
      <c r="E20" s="42" t="s">
        <v>4</v>
      </c>
      <c r="F20" s="42" t="s">
        <v>4</v>
      </c>
      <c r="G20" s="42" t="s">
        <v>4</v>
      </c>
      <c r="H20" s="42" t="s">
        <v>4</v>
      </c>
      <c r="I20" s="42" t="s">
        <v>4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16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4</v>
      </c>
      <c r="W20" s="42" t="s">
        <v>4</v>
      </c>
      <c r="X20" s="42" t="s">
        <v>4</v>
      </c>
      <c r="Y20" s="42"/>
      <c r="Z20" s="42"/>
      <c r="AA20" s="42"/>
    </row>
    <row r="21" ht="15.0" customHeight="1">
      <c r="A21" s="67" t="s">
        <v>142</v>
      </c>
      <c r="B21" s="67" t="s">
        <v>143</v>
      </c>
      <c r="C21" s="68">
        <v>347294.0</v>
      </c>
      <c r="D21" s="42" t="s">
        <v>78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16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4</v>
      </c>
      <c r="V21" s="42" t="s">
        <v>4</v>
      </c>
      <c r="W21" s="42" t="s">
        <v>4</v>
      </c>
      <c r="X21" s="42" t="s">
        <v>4</v>
      </c>
      <c r="Y21" s="42"/>
      <c r="Z21" s="42"/>
      <c r="AA21" s="42"/>
    </row>
    <row r="22" ht="15.0" customHeight="1">
      <c r="A22" s="67" t="s">
        <v>144</v>
      </c>
      <c r="B22" s="67" t="s">
        <v>145</v>
      </c>
      <c r="C22" s="68">
        <v>371295.0</v>
      </c>
      <c r="D22" s="42" t="s">
        <v>78</v>
      </c>
      <c r="E22" s="42" t="s">
        <v>4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16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6</v>
      </c>
      <c r="V22" s="42" t="s">
        <v>6</v>
      </c>
      <c r="W22" s="42" t="s">
        <v>6</v>
      </c>
      <c r="X22" s="42" t="s">
        <v>4</v>
      </c>
      <c r="Y22" s="42"/>
      <c r="Z22" s="42"/>
      <c r="AA22" s="42"/>
    </row>
    <row r="23" ht="15.0" customHeight="1">
      <c r="A23" s="67" t="s">
        <v>146</v>
      </c>
      <c r="B23" s="67" t="s">
        <v>147</v>
      </c>
      <c r="C23" s="68">
        <v>397159.0</v>
      </c>
      <c r="D23" s="42" t="s">
        <v>78</v>
      </c>
      <c r="E23" s="42" t="s">
        <v>4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16</v>
      </c>
      <c r="P23" s="42" t="s">
        <v>4</v>
      </c>
      <c r="Q23" s="42" t="s">
        <v>4</v>
      </c>
      <c r="R23" s="42" t="s">
        <v>6</v>
      </c>
      <c r="S23" s="42" t="s">
        <v>4</v>
      </c>
      <c r="T23" s="42" t="s">
        <v>4</v>
      </c>
      <c r="U23" s="42" t="s">
        <v>4</v>
      </c>
      <c r="V23" s="42" t="s">
        <v>4</v>
      </c>
      <c r="W23" s="42" t="s">
        <v>4</v>
      </c>
      <c r="X23" s="42" t="s">
        <v>4</v>
      </c>
      <c r="Y23" s="42"/>
      <c r="Z23" s="42"/>
      <c r="AA23" s="42"/>
    </row>
    <row r="24" ht="15.0" customHeight="1">
      <c r="A24" s="67" t="s">
        <v>148</v>
      </c>
      <c r="B24" s="67" t="s">
        <v>149</v>
      </c>
      <c r="C24" s="68">
        <v>397521.0</v>
      </c>
      <c r="D24" s="42" t="s">
        <v>78</v>
      </c>
      <c r="E24" s="42" t="s">
        <v>4</v>
      </c>
      <c r="F24" s="42" t="s">
        <v>4</v>
      </c>
      <c r="G24" s="42" t="s">
        <v>4</v>
      </c>
      <c r="H24" s="42" t="s">
        <v>4</v>
      </c>
      <c r="I24" s="42" t="s">
        <v>4</v>
      </c>
      <c r="J24" s="42" t="s">
        <v>4</v>
      </c>
      <c r="K24" s="42" t="s">
        <v>4</v>
      </c>
      <c r="L24" s="42" t="s">
        <v>4</v>
      </c>
      <c r="M24" s="42" t="s">
        <v>4</v>
      </c>
      <c r="N24" s="42" t="s">
        <v>4</v>
      </c>
      <c r="O24" s="42" t="s">
        <v>16</v>
      </c>
      <c r="P24" s="42" t="s">
        <v>4</v>
      </c>
      <c r="Q24" s="42" t="s">
        <v>4</v>
      </c>
      <c r="R24" s="42" t="s">
        <v>4</v>
      </c>
      <c r="S24" s="42" t="s">
        <v>4</v>
      </c>
      <c r="T24" s="42" t="s">
        <v>4</v>
      </c>
      <c r="U24" s="42" t="s">
        <v>4</v>
      </c>
      <c r="V24" s="42" t="s">
        <v>4</v>
      </c>
      <c r="W24" s="42" t="s">
        <v>4</v>
      </c>
      <c r="X24" s="42" t="s">
        <v>4</v>
      </c>
      <c r="Y24" s="42"/>
      <c r="Z24" s="42"/>
      <c r="AA24" s="42"/>
    </row>
    <row r="25" ht="15.0" customHeight="1">
      <c r="A25" s="67" t="s">
        <v>150</v>
      </c>
      <c r="B25" s="67" t="s">
        <v>151</v>
      </c>
      <c r="C25" s="68">
        <v>395368.0</v>
      </c>
      <c r="D25" s="42" t="s">
        <v>78</v>
      </c>
      <c r="E25" s="42" t="s">
        <v>4</v>
      </c>
      <c r="F25" s="42" t="s">
        <v>4</v>
      </c>
      <c r="G25" s="42" t="s">
        <v>4</v>
      </c>
      <c r="H25" s="42" t="s">
        <v>4</v>
      </c>
      <c r="I25" s="42" t="s">
        <v>4</v>
      </c>
      <c r="J25" s="42" t="s">
        <v>4</v>
      </c>
      <c r="K25" s="42" t="s">
        <v>4</v>
      </c>
      <c r="L25" s="42" t="s">
        <v>4</v>
      </c>
      <c r="M25" s="42" t="s">
        <v>4</v>
      </c>
      <c r="N25" s="42" t="s">
        <v>4</v>
      </c>
      <c r="O25" s="42" t="s">
        <v>16</v>
      </c>
      <c r="P25" s="42" t="s">
        <v>4</v>
      </c>
      <c r="Q25" s="42" t="s">
        <v>4</v>
      </c>
      <c r="R25" s="42" t="s">
        <v>4</v>
      </c>
      <c r="S25" s="42" t="s">
        <v>4</v>
      </c>
      <c r="T25" s="42" t="s">
        <v>4</v>
      </c>
      <c r="U25" s="42" t="s">
        <v>4</v>
      </c>
      <c r="V25" s="42" t="s">
        <v>4</v>
      </c>
      <c r="W25" s="42" t="s">
        <v>4</v>
      </c>
      <c r="X25" s="42" t="s">
        <v>4</v>
      </c>
      <c r="Y25" s="42"/>
      <c r="Z25" s="42"/>
      <c r="AA25" s="42"/>
    </row>
    <row r="26" ht="15.0" customHeight="1">
      <c r="A26" s="67" t="s">
        <v>152</v>
      </c>
      <c r="B26" s="67" t="s">
        <v>153</v>
      </c>
      <c r="C26" s="68">
        <v>371776.0</v>
      </c>
      <c r="D26" s="42" t="s">
        <v>78</v>
      </c>
      <c r="E26" s="42" t="s">
        <v>4</v>
      </c>
      <c r="F26" s="42" t="s">
        <v>4</v>
      </c>
      <c r="G26" s="42" t="s">
        <v>4</v>
      </c>
      <c r="H26" s="42" t="s">
        <v>4</v>
      </c>
      <c r="I26" s="42" t="s">
        <v>4</v>
      </c>
      <c r="J26" s="42" t="s">
        <v>4</v>
      </c>
      <c r="K26" s="42" t="s">
        <v>4</v>
      </c>
      <c r="L26" s="42" t="s">
        <v>4</v>
      </c>
      <c r="M26" s="42" t="s">
        <v>4</v>
      </c>
      <c r="N26" s="42" t="s">
        <v>4</v>
      </c>
      <c r="O26" s="42" t="s">
        <v>16</v>
      </c>
      <c r="P26" s="42" t="s">
        <v>4</v>
      </c>
      <c r="Q26" s="42" t="s">
        <v>4</v>
      </c>
      <c r="R26" s="42" t="s">
        <v>4</v>
      </c>
      <c r="S26" s="42" t="s">
        <v>4</v>
      </c>
      <c r="T26" s="42" t="s">
        <v>4</v>
      </c>
      <c r="U26" s="42" t="s">
        <v>4</v>
      </c>
      <c r="V26" s="42" t="s">
        <v>4</v>
      </c>
      <c r="W26" s="42" t="s">
        <v>4</v>
      </c>
      <c r="X26" s="42" t="s">
        <v>4</v>
      </c>
      <c r="Y26" s="42"/>
      <c r="Z26" s="42"/>
      <c r="AA26" s="42"/>
    </row>
    <row r="27" ht="15.0" customHeight="1">
      <c r="A27" s="67" t="s">
        <v>126</v>
      </c>
      <c r="B27" s="67" t="s">
        <v>154</v>
      </c>
      <c r="C27" s="68">
        <v>351694.0</v>
      </c>
      <c r="D27" s="42" t="s">
        <v>78</v>
      </c>
      <c r="E27" s="42" t="s">
        <v>4</v>
      </c>
      <c r="F27" s="42" t="s">
        <v>4</v>
      </c>
      <c r="G27" s="42" t="s">
        <v>4</v>
      </c>
      <c r="H27" s="42" t="s">
        <v>4</v>
      </c>
      <c r="I27" s="42" t="s">
        <v>4</v>
      </c>
      <c r="J27" s="42" t="s">
        <v>4</v>
      </c>
      <c r="K27" s="42" t="s">
        <v>4</v>
      </c>
      <c r="L27" s="42" t="s">
        <v>4</v>
      </c>
      <c r="M27" s="42" t="s">
        <v>4</v>
      </c>
      <c r="N27" s="42" t="s">
        <v>4</v>
      </c>
      <c r="O27" s="42" t="s">
        <v>162</v>
      </c>
      <c r="P27" s="42" t="s">
        <v>4</v>
      </c>
      <c r="Q27" s="42" t="s">
        <v>4</v>
      </c>
      <c r="R27" s="42" t="s">
        <v>4</v>
      </c>
      <c r="S27" s="42" t="s">
        <v>4</v>
      </c>
      <c r="T27" s="42" t="s">
        <v>4</v>
      </c>
      <c r="U27" s="42" t="s">
        <v>4</v>
      </c>
      <c r="V27" s="42" t="s">
        <v>4</v>
      </c>
      <c r="W27" s="42" t="s">
        <v>4</v>
      </c>
      <c r="X27" s="42" t="s">
        <v>4</v>
      </c>
      <c r="Y27" s="42"/>
      <c r="Z27" s="42"/>
      <c r="AA27" s="42"/>
    </row>
    <row r="28" ht="15.0" customHeight="1">
      <c r="A28" s="67" t="s">
        <v>155</v>
      </c>
      <c r="B28" s="67" t="s">
        <v>156</v>
      </c>
      <c r="C28" s="68">
        <v>383828.0</v>
      </c>
      <c r="D28" s="42" t="s">
        <v>78</v>
      </c>
      <c r="E28" s="42" t="s">
        <v>4</v>
      </c>
      <c r="F28" s="42" t="s">
        <v>4</v>
      </c>
      <c r="G28" s="42" t="s">
        <v>4</v>
      </c>
      <c r="H28" s="42" t="s">
        <v>4</v>
      </c>
      <c r="I28" s="42" t="s">
        <v>4</v>
      </c>
      <c r="J28" s="42" t="s">
        <v>4</v>
      </c>
      <c r="K28" s="42" t="s">
        <v>4</v>
      </c>
      <c r="L28" s="42" t="s">
        <v>4</v>
      </c>
      <c r="M28" s="42" t="s">
        <v>4</v>
      </c>
      <c r="N28" s="42" t="s">
        <v>4</v>
      </c>
      <c r="O28" s="42" t="s">
        <v>16</v>
      </c>
      <c r="P28" s="42" t="s">
        <v>4</v>
      </c>
      <c r="Q28" s="42" t="s">
        <v>4</v>
      </c>
      <c r="R28" s="42" t="s">
        <v>4</v>
      </c>
      <c r="S28" s="42" t="s">
        <v>4</v>
      </c>
      <c r="T28" s="42" t="s">
        <v>4</v>
      </c>
      <c r="U28" s="42" t="s">
        <v>4</v>
      </c>
      <c r="V28" s="42" t="s">
        <v>4</v>
      </c>
      <c r="W28" s="42" t="s">
        <v>4</v>
      </c>
      <c r="X28" s="42" t="s">
        <v>4</v>
      </c>
      <c r="Y28" s="42"/>
      <c r="Z28" s="42"/>
      <c r="AA28" s="42"/>
    </row>
    <row r="29" ht="15.0" customHeight="1">
      <c r="A29" s="67" t="s">
        <v>157</v>
      </c>
      <c r="B29" s="67" t="s">
        <v>158</v>
      </c>
      <c r="C29" s="68">
        <v>380685.0</v>
      </c>
      <c r="D29" s="42" t="s">
        <v>78</v>
      </c>
      <c r="E29" s="42" t="s">
        <v>4</v>
      </c>
      <c r="F29" s="42" t="s">
        <v>4</v>
      </c>
      <c r="G29" s="42" t="s">
        <v>4</v>
      </c>
      <c r="H29" s="42" t="s">
        <v>4</v>
      </c>
      <c r="I29" s="42" t="s">
        <v>4</v>
      </c>
      <c r="J29" s="42" t="s">
        <v>4</v>
      </c>
      <c r="K29" s="42" t="s">
        <v>4</v>
      </c>
      <c r="L29" s="42" t="s">
        <v>4</v>
      </c>
      <c r="M29" s="42" t="s">
        <v>4</v>
      </c>
      <c r="N29" s="42" t="s">
        <v>4</v>
      </c>
      <c r="O29" s="42" t="s">
        <v>16</v>
      </c>
      <c r="P29" s="42" t="s">
        <v>4</v>
      </c>
      <c r="Q29" s="42" t="s">
        <v>4</v>
      </c>
      <c r="R29" s="42" t="s">
        <v>4</v>
      </c>
      <c r="S29" s="42" t="s">
        <v>4</v>
      </c>
      <c r="T29" s="42" t="s">
        <v>4</v>
      </c>
      <c r="U29" s="42" t="s">
        <v>4</v>
      </c>
      <c r="V29" s="42" t="s">
        <v>4</v>
      </c>
      <c r="W29" s="42" t="s">
        <v>4</v>
      </c>
      <c r="X29" s="42" t="s">
        <v>4</v>
      </c>
      <c r="Y29" s="42"/>
      <c r="Z29" s="42"/>
      <c r="AA29" s="42"/>
    </row>
    <row r="30" ht="15.0" customHeight="1">
      <c r="A30" s="67" t="s">
        <v>159</v>
      </c>
      <c r="B30" s="67" t="s">
        <v>160</v>
      </c>
      <c r="C30" s="68">
        <v>390977.0</v>
      </c>
      <c r="D30" s="42" t="s">
        <v>78</v>
      </c>
      <c r="E30" s="42" t="s">
        <v>4</v>
      </c>
      <c r="F30" s="42" t="s">
        <v>4</v>
      </c>
      <c r="G30" s="42" t="s">
        <v>4</v>
      </c>
      <c r="H30" s="42" t="s">
        <v>4</v>
      </c>
      <c r="I30" s="42" t="s">
        <v>4</v>
      </c>
      <c r="J30" s="42" t="s">
        <v>4</v>
      </c>
      <c r="K30" s="42" t="s">
        <v>4</v>
      </c>
      <c r="L30" s="42" t="s">
        <v>4</v>
      </c>
      <c r="M30" s="42" t="s">
        <v>4</v>
      </c>
      <c r="N30" s="42" t="s">
        <v>4</v>
      </c>
      <c r="O30" s="42" t="s">
        <v>16</v>
      </c>
      <c r="P30" s="42" t="s">
        <v>4</v>
      </c>
      <c r="Q30" s="42" t="s">
        <v>4</v>
      </c>
      <c r="R30" s="42" t="s">
        <v>4</v>
      </c>
      <c r="S30" s="42" t="s">
        <v>4</v>
      </c>
      <c r="T30" s="42" t="s">
        <v>4</v>
      </c>
      <c r="U30" s="42" t="s">
        <v>4</v>
      </c>
      <c r="V30" s="42" t="s">
        <v>4</v>
      </c>
      <c r="W30" s="42" t="s">
        <v>4</v>
      </c>
      <c r="X30" s="42" t="s">
        <v>4</v>
      </c>
      <c r="Y30" s="42"/>
      <c r="Z30" s="42"/>
      <c r="AA30" s="42"/>
    </row>
    <row r="31" ht="15.0" customHeight="1">
      <c r="A31" s="57" t="s">
        <v>99</v>
      </c>
      <c r="B31" s="57" t="s">
        <v>100</v>
      </c>
      <c r="C31" s="58">
        <v>353303.0</v>
      </c>
      <c r="D31" s="42" t="s">
        <v>68</v>
      </c>
      <c r="E31" s="42" t="s">
        <v>4</v>
      </c>
      <c r="F31" s="42" t="s">
        <v>4</v>
      </c>
      <c r="G31" s="42" t="s">
        <v>4</v>
      </c>
      <c r="H31" s="42" t="s">
        <v>4</v>
      </c>
      <c r="I31" s="42" t="s">
        <v>4</v>
      </c>
      <c r="J31" s="42" t="s">
        <v>4</v>
      </c>
      <c r="K31" s="42" t="s">
        <v>4</v>
      </c>
      <c r="L31" s="42" t="s">
        <v>4</v>
      </c>
      <c r="M31" s="42" t="s">
        <v>4</v>
      </c>
      <c r="N31" s="42" t="s">
        <v>4</v>
      </c>
      <c r="O31" s="42" t="s">
        <v>16</v>
      </c>
      <c r="P31" s="42" t="s">
        <v>4</v>
      </c>
      <c r="Q31" s="42" t="s">
        <v>4</v>
      </c>
      <c r="R31" s="42" t="s">
        <v>4</v>
      </c>
      <c r="S31" s="42" t="s">
        <v>4</v>
      </c>
      <c r="T31" s="42" t="s">
        <v>4</v>
      </c>
      <c r="U31" s="42" t="s">
        <v>4</v>
      </c>
      <c r="V31" s="42" t="s">
        <v>4</v>
      </c>
      <c r="W31" s="42" t="s">
        <v>4</v>
      </c>
      <c r="X31" s="42" t="s">
        <v>4</v>
      </c>
      <c r="Y31" s="42"/>
      <c r="Z31" s="42"/>
      <c r="AA31" s="42"/>
    </row>
    <row r="32" ht="15.0" customHeight="1">
      <c r="A32" s="60" t="s">
        <v>115</v>
      </c>
      <c r="B32" s="60" t="s">
        <v>116</v>
      </c>
      <c r="C32" s="58">
        <v>254387.0</v>
      </c>
      <c r="D32" s="42" t="s">
        <v>68</v>
      </c>
      <c r="E32" s="42" t="s">
        <v>4</v>
      </c>
      <c r="F32" s="42" t="s">
        <v>4</v>
      </c>
      <c r="G32" s="42" t="s">
        <v>4</v>
      </c>
      <c r="H32" s="42" t="s">
        <v>4</v>
      </c>
      <c r="I32" s="42" t="s">
        <v>4</v>
      </c>
      <c r="J32" s="42" t="s">
        <v>4</v>
      </c>
      <c r="K32" s="42" t="s">
        <v>4</v>
      </c>
      <c r="L32" s="42" t="s">
        <v>4</v>
      </c>
      <c r="M32" s="42" t="s">
        <v>4</v>
      </c>
      <c r="N32" s="42" t="s">
        <v>4</v>
      </c>
      <c r="O32" s="42" t="s">
        <v>16</v>
      </c>
      <c r="P32" s="42" t="s">
        <v>4</v>
      </c>
      <c r="Q32" s="42" t="s">
        <v>4</v>
      </c>
      <c r="R32" s="42" t="s">
        <v>4</v>
      </c>
      <c r="S32" s="42" t="s">
        <v>4</v>
      </c>
      <c r="T32" s="42" t="s">
        <v>4</v>
      </c>
      <c r="U32" s="42" t="s">
        <v>4</v>
      </c>
      <c r="V32" s="42" t="s">
        <v>4</v>
      </c>
      <c r="W32" s="42" t="s">
        <v>4</v>
      </c>
      <c r="X32" s="42" t="s">
        <v>4</v>
      </c>
      <c r="Y32" s="42"/>
      <c r="Z32" s="42"/>
      <c r="AA32" s="42"/>
    </row>
    <row r="33" ht="15.0" customHeight="1">
      <c r="A33" s="67"/>
      <c r="B33" s="67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 t="s">
        <v>16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ht="15.0" customHeight="1">
      <c r="A34" s="67"/>
      <c r="B34" s="67"/>
      <c r="C34" s="68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 t="s">
        <v>16</v>
      </c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ht="15.0" customHeight="1">
      <c r="A35" s="67"/>
      <c r="B35" s="67"/>
      <c r="C35" s="68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 t="s">
        <v>16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ht="15.0" customHeight="1"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 t="s">
        <v>16</v>
      </c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ht="30.0" customHeight="1">
      <c r="E37" s="49">
        <f t="shared" ref="E37:AA37" si="2">IF((COUNTIF(E8:E36,"*P*") + COUNTIF(E8:E36, "*L*")) &gt;= 0, COUNTIF(E8:E36,"*P*") + COUNTIF(E8:E36, "*L*"), "")</f>
        <v>24</v>
      </c>
      <c r="F37" s="49">
        <f t="shared" si="2"/>
        <v>24</v>
      </c>
      <c r="G37" s="49">
        <f t="shared" si="2"/>
        <v>24</v>
      </c>
      <c r="H37" s="49">
        <f t="shared" si="2"/>
        <v>24</v>
      </c>
      <c r="I37" s="49">
        <f t="shared" si="2"/>
        <v>24</v>
      </c>
      <c r="J37" s="49">
        <f t="shared" si="2"/>
        <v>24</v>
      </c>
      <c r="K37" s="49">
        <f t="shared" si="2"/>
        <v>24</v>
      </c>
      <c r="L37" s="49">
        <f t="shared" si="2"/>
        <v>24</v>
      </c>
      <c r="M37" s="49">
        <f t="shared" si="2"/>
        <v>24</v>
      </c>
      <c r="N37" s="49">
        <f t="shared" si="2"/>
        <v>24</v>
      </c>
      <c r="O37" s="49">
        <f t="shared" si="2"/>
        <v>0</v>
      </c>
      <c r="P37" s="49">
        <f t="shared" si="2"/>
        <v>24</v>
      </c>
      <c r="Q37" s="49">
        <f t="shared" si="2"/>
        <v>24</v>
      </c>
      <c r="R37" s="49">
        <f t="shared" si="2"/>
        <v>23</v>
      </c>
      <c r="S37" s="49">
        <f t="shared" si="2"/>
        <v>24</v>
      </c>
      <c r="T37" s="49">
        <f t="shared" si="2"/>
        <v>23</v>
      </c>
      <c r="U37" s="49">
        <f t="shared" si="2"/>
        <v>23</v>
      </c>
      <c r="V37" s="49">
        <f t="shared" si="2"/>
        <v>23</v>
      </c>
      <c r="W37" s="49">
        <f t="shared" si="2"/>
        <v>23</v>
      </c>
      <c r="X37" s="49">
        <f t="shared" si="2"/>
        <v>24</v>
      </c>
      <c r="Y37" s="49">
        <f t="shared" si="2"/>
        <v>0</v>
      </c>
      <c r="Z37" s="49">
        <f t="shared" si="2"/>
        <v>0</v>
      </c>
      <c r="AA37" s="49">
        <f t="shared" si="2"/>
        <v>0</v>
      </c>
    </row>
    <row r="38" ht="30.0" customHeight="1">
      <c r="E38" s="54">
        <f t="shared" ref="E38:AA38" si="3">IF((COUNTIF(E8:E36,"*A*") + COUNTIF(E8:E36, "*E*")) &gt;= 0, COUNTIF(E8:E36,"*A*") + COUNTIF(E8:E36, "*E*"), "")</f>
        <v>0</v>
      </c>
      <c r="F38" s="54">
        <f t="shared" si="3"/>
        <v>0</v>
      </c>
      <c r="G38" s="54">
        <f t="shared" si="3"/>
        <v>0</v>
      </c>
      <c r="H38" s="54">
        <f t="shared" si="3"/>
        <v>0</v>
      </c>
      <c r="I38" s="54">
        <f t="shared" si="3"/>
        <v>0</v>
      </c>
      <c r="J38" s="54">
        <f t="shared" si="3"/>
        <v>0</v>
      </c>
      <c r="K38" s="54">
        <f t="shared" si="3"/>
        <v>0</v>
      </c>
      <c r="L38" s="54">
        <f t="shared" si="3"/>
        <v>0</v>
      </c>
      <c r="M38" s="54">
        <f t="shared" si="3"/>
        <v>0</v>
      </c>
      <c r="N38" s="54">
        <f t="shared" si="3"/>
        <v>0</v>
      </c>
      <c r="O38" s="54">
        <f t="shared" si="3"/>
        <v>0</v>
      </c>
      <c r="P38" s="54">
        <f t="shared" si="3"/>
        <v>0</v>
      </c>
      <c r="Q38" s="54">
        <f t="shared" si="3"/>
        <v>0</v>
      </c>
      <c r="R38" s="54">
        <f t="shared" si="3"/>
        <v>1</v>
      </c>
      <c r="S38" s="54">
        <f t="shared" si="3"/>
        <v>0</v>
      </c>
      <c r="T38" s="54">
        <f t="shared" si="3"/>
        <v>1</v>
      </c>
      <c r="U38" s="54">
        <f t="shared" si="3"/>
        <v>1</v>
      </c>
      <c r="V38" s="54">
        <f t="shared" si="3"/>
        <v>1</v>
      </c>
      <c r="W38" s="54">
        <f t="shared" si="3"/>
        <v>1</v>
      </c>
      <c r="X38" s="54">
        <f t="shared" si="3"/>
        <v>0</v>
      </c>
      <c r="Y38" s="54">
        <f t="shared" si="3"/>
        <v>0</v>
      </c>
      <c r="Z38" s="54">
        <f t="shared" si="3"/>
        <v>0</v>
      </c>
      <c r="AA38" s="54">
        <f t="shared" si="3"/>
        <v>0</v>
      </c>
    </row>
    <row r="39" ht="30.0" customHeight="1">
      <c r="E39" s="55">
        <f t="shared" ref="E39:AA39" si="4">SUM(E37+E38)</f>
        <v>24</v>
      </c>
      <c r="F39" s="55">
        <f t="shared" si="4"/>
        <v>24</v>
      </c>
      <c r="G39" s="55">
        <f t="shared" si="4"/>
        <v>24</v>
      </c>
      <c r="H39" s="55">
        <f t="shared" si="4"/>
        <v>24</v>
      </c>
      <c r="I39" s="55">
        <f t="shared" si="4"/>
        <v>24</v>
      </c>
      <c r="J39" s="55">
        <f t="shared" si="4"/>
        <v>24</v>
      </c>
      <c r="K39" s="55">
        <f t="shared" si="4"/>
        <v>24</v>
      </c>
      <c r="L39" s="55">
        <f t="shared" si="4"/>
        <v>24</v>
      </c>
      <c r="M39" s="55">
        <f t="shared" si="4"/>
        <v>24</v>
      </c>
      <c r="N39" s="55">
        <f t="shared" si="4"/>
        <v>24</v>
      </c>
      <c r="O39" s="55">
        <f t="shared" si="4"/>
        <v>0</v>
      </c>
      <c r="P39" s="55">
        <f t="shared" si="4"/>
        <v>24</v>
      </c>
      <c r="Q39" s="55">
        <f t="shared" si="4"/>
        <v>24</v>
      </c>
      <c r="R39" s="55">
        <f t="shared" si="4"/>
        <v>24</v>
      </c>
      <c r="S39" s="55">
        <f t="shared" si="4"/>
        <v>24</v>
      </c>
      <c r="T39" s="55">
        <f t="shared" si="4"/>
        <v>24</v>
      </c>
      <c r="U39" s="55">
        <f t="shared" si="4"/>
        <v>24</v>
      </c>
      <c r="V39" s="55">
        <f t="shared" si="4"/>
        <v>24</v>
      </c>
      <c r="W39" s="55">
        <f t="shared" si="4"/>
        <v>24</v>
      </c>
      <c r="X39" s="55">
        <f t="shared" si="4"/>
        <v>24</v>
      </c>
      <c r="Y39" s="55">
        <f t="shared" si="4"/>
        <v>0</v>
      </c>
      <c r="Z39" s="55">
        <f t="shared" si="4"/>
        <v>0</v>
      </c>
      <c r="AA39" s="55">
        <f t="shared" si="4"/>
        <v>0</v>
      </c>
    </row>
    <row r="40" ht="30.0" customHeight="1"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50" ht="30.0" customHeight="1"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50 C28 C32 C37 C41:C42 C46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45">
    <cfRule type="cellIs" dxfId="0" priority="4" operator="equal">
      <formula>"S"</formula>
    </cfRule>
  </conditionalFormatting>
  <conditionalFormatting sqref="E8:AA45">
    <cfRule type="cellIs" dxfId="1" priority="5" operator="equal">
      <formula>"N"</formula>
    </cfRule>
  </conditionalFormatting>
  <conditionalFormatting sqref="E8:AA45">
    <cfRule type="cellIs" dxfId="2" priority="6" operator="equal">
      <formula>"D"</formula>
    </cfRule>
  </conditionalFormatting>
  <conditionalFormatting sqref="E8:AA45">
    <cfRule type="cellIs" dxfId="9" priority="7" operator="equal">
      <formula>"R"</formula>
    </cfRule>
  </conditionalFormatting>
  <conditionalFormatting sqref="E8:AA45">
    <cfRule type="cellIs" dxfId="4" priority="8" operator="equal">
      <formula>"H"</formula>
    </cfRule>
  </conditionalFormatting>
  <conditionalFormatting sqref="E8:AA45">
    <cfRule type="cellIs" dxfId="5" priority="9" operator="equal">
      <formula>"E"</formula>
    </cfRule>
  </conditionalFormatting>
  <conditionalFormatting sqref="E8:AA45">
    <cfRule type="cellIs" dxfId="10" priority="10" operator="equal">
      <formula>"L"</formula>
    </cfRule>
  </conditionalFormatting>
  <conditionalFormatting sqref="E8:AA45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5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COUNTIF(D7:D33, "Student - Active") + COUNTIF(D7:D33, "Student - Added")
</f>
        <v>22</v>
      </c>
      <c r="K2" s="29" t="s">
        <v>37</v>
      </c>
      <c r="N2" s="33">
        <f t="shared" ref="N2:N3" si="1">SUM(E34:AA34)</f>
        <v>527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COUNTIF(D7:D33, "Student Aide - Active") + COUNTIF(D7:D33, "Student Aide - Added")</f>
        <v>2</v>
      </c>
      <c r="K3" s="29" t="s">
        <v>43</v>
      </c>
      <c r="N3" s="33">
        <f t="shared" si="1"/>
        <v>1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COUNTIF(D7:D33, "Student - Added")</f>
        <v>0</v>
      </c>
      <c r="K4" s="29" t="s">
        <v>49</v>
      </c>
      <c r="N4" s="33">
        <f>sum(E36:AA36)</f>
        <v>528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COUNTIF(D7:D33, "Student - Dropped") + COUNTIF(D7:D33, "Student Aide - Dropped")</f>
        <v>0</v>
      </c>
      <c r="K5" s="31" t="s">
        <v>55</v>
      </c>
      <c r="N5" s="34">
        <f>SUM(N2/N4)</f>
        <v>0.9981060606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46083.0</v>
      </c>
      <c r="F7" s="40">
        <v>46084.0</v>
      </c>
      <c r="G7" s="40">
        <v>46085.0</v>
      </c>
      <c r="H7" s="40">
        <v>46086.0</v>
      </c>
      <c r="I7" s="40">
        <v>46087.0</v>
      </c>
      <c r="J7" s="40">
        <v>46090.0</v>
      </c>
      <c r="K7" s="40">
        <v>46091.0</v>
      </c>
      <c r="L7" s="40">
        <v>46092.0</v>
      </c>
      <c r="M7" s="40">
        <v>46093.0</v>
      </c>
      <c r="N7" s="40">
        <v>46094.0</v>
      </c>
      <c r="O7" s="40">
        <v>46097.0</v>
      </c>
      <c r="P7" s="40">
        <v>46098.0</v>
      </c>
      <c r="Q7" s="40">
        <v>46099.0</v>
      </c>
      <c r="R7" s="40">
        <v>46100.0</v>
      </c>
      <c r="S7" s="40">
        <v>46101.0</v>
      </c>
      <c r="T7" s="40">
        <v>46104.0</v>
      </c>
      <c r="U7" s="40">
        <v>46105.0</v>
      </c>
      <c r="V7" s="40">
        <v>46106.0</v>
      </c>
      <c r="W7" s="40">
        <v>46107.0</v>
      </c>
      <c r="X7" s="40">
        <v>46108.0</v>
      </c>
      <c r="Y7" s="40">
        <v>46111.0</v>
      </c>
      <c r="Z7" s="40">
        <v>46112.0</v>
      </c>
      <c r="AA7" s="40"/>
    </row>
    <row r="8" ht="15.0" customHeight="1">
      <c r="A8" s="62" t="s">
        <v>117</v>
      </c>
      <c r="B8" s="63"/>
      <c r="C8" s="64"/>
      <c r="D8" s="64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65" t="s">
        <v>118</v>
      </c>
      <c r="B9" s="65" t="s">
        <v>119</v>
      </c>
      <c r="C9" s="66">
        <v>368523.0</v>
      </c>
      <c r="D9" s="42" t="s">
        <v>78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4</v>
      </c>
      <c r="W9" s="42" t="s">
        <v>4</v>
      </c>
      <c r="X9" s="42" t="s">
        <v>4</v>
      </c>
      <c r="Y9" s="42" t="s">
        <v>4</v>
      </c>
      <c r="Z9" s="42" t="s">
        <v>4</v>
      </c>
      <c r="AA9" s="42"/>
    </row>
    <row r="10" ht="15.0" customHeight="1">
      <c r="A10" s="65" t="s">
        <v>120</v>
      </c>
      <c r="B10" s="65" t="s">
        <v>121</v>
      </c>
      <c r="C10" s="66">
        <v>384445.0</v>
      </c>
      <c r="D10" s="42" t="s">
        <v>78</v>
      </c>
      <c r="E10" s="42" t="s">
        <v>4</v>
      </c>
      <c r="F10" s="42" t="s">
        <v>4</v>
      </c>
      <c r="G10" s="42" t="s">
        <v>4</v>
      </c>
      <c r="H10" s="42" t="s">
        <v>4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4</v>
      </c>
      <c r="V10" s="42" t="s">
        <v>4</v>
      </c>
      <c r="W10" s="42" t="s">
        <v>4</v>
      </c>
      <c r="X10" s="42" t="s">
        <v>4</v>
      </c>
      <c r="Y10" s="42" t="s">
        <v>4</v>
      </c>
      <c r="Z10" s="42" t="s">
        <v>4</v>
      </c>
      <c r="AA10" s="42"/>
    </row>
    <row r="11" ht="15.0" customHeight="1">
      <c r="A11" s="65" t="s">
        <v>122</v>
      </c>
      <c r="B11" s="65" t="s">
        <v>123</v>
      </c>
      <c r="C11" s="66">
        <v>380027.0</v>
      </c>
      <c r="D11" s="42" t="s">
        <v>78</v>
      </c>
      <c r="E11" s="42" t="s">
        <v>4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4</v>
      </c>
      <c r="W11" s="42" t="s">
        <v>4</v>
      </c>
      <c r="X11" s="42" t="s">
        <v>4</v>
      </c>
      <c r="Y11" s="42" t="s">
        <v>4</v>
      </c>
      <c r="Z11" s="42" t="s">
        <v>4</v>
      </c>
      <c r="AA11" s="42"/>
    </row>
    <row r="12" ht="15.0" customHeight="1">
      <c r="A12" s="65" t="s">
        <v>124</v>
      </c>
      <c r="B12" s="65" t="s">
        <v>125</v>
      </c>
      <c r="C12" s="66">
        <v>396947.0</v>
      </c>
      <c r="D12" s="42" t="s">
        <v>78</v>
      </c>
      <c r="E12" s="42" t="s">
        <v>4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4</v>
      </c>
      <c r="P12" s="42" t="s">
        <v>4</v>
      </c>
      <c r="Q12" s="42" t="s">
        <v>4</v>
      </c>
      <c r="R12" s="42" t="s">
        <v>4</v>
      </c>
      <c r="S12" s="42" t="s">
        <v>4</v>
      </c>
      <c r="T12" s="42" t="s">
        <v>4</v>
      </c>
      <c r="U12" s="42" t="s">
        <v>4</v>
      </c>
      <c r="V12" s="42" t="s">
        <v>4</v>
      </c>
      <c r="W12" s="42" t="s">
        <v>4</v>
      </c>
      <c r="X12" s="42" t="s">
        <v>4</v>
      </c>
      <c r="Y12" s="42" t="s">
        <v>4</v>
      </c>
      <c r="Z12" s="42" t="s">
        <v>4</v>
      </c>
      <c r="AA12" s="42"/>
    </row>
    <row r="13" ht="15.0" customHeight="1">
      <c r="A13" s="65" t="s">
        <v>126</v>
      </c>
      <c r="B13" s="65" t="s">
        <v>127</v>
      </c>
      <c r="C13" s="66">
        <v>341113.0</v>
      </c>
      <c r="D13" s="42" t="s">
        <v>78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4</v>
      </c>
      <c r="W13" s="42" t="s">
        <v>4</v>
      </c>
      <c r="X13" s="42" t="s">
        <v>4</v>
      </c>
      <c r="Y13" s="42" t="s">
        <v>4</v>
      </c>
      <c r="Z13" s="42" t="s">
        <v>4</v>
      </c>
      <c r="AA13" s="42"/>
    </row>
    <row r="14" ht="15.0" customHeight="1">
      <c r="A14" s="67" t="s">
        <v>128</v>
      </c>
      <c r="B14" s="67" t="s">
        <v>129</v>
      </c>
      <c r="C14" s="68">
        <v>388724.0</v>
      </c>
      <c r="D14" s="42" t="s">
        <v>78</v>
      </c>
      <c r="E14" s="42" t="s">
        <v>4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4</v>
      </c>
      <c r="W14" s="42" t="s">
        <v>4</v>
      </c>
      <c r="X14" s="42" t="s">
        <v>4</v>
      </c>
      <c r="Y14" s="42" t="s">
        <v>4</v>
      </c>
      <c r="Z14" s="42" t="s">
        <v>4</v>
      </c>
      <c r="AA14" s="42"/>
    </row>
    <row r="15" ht="15.0" customHeight="1">
      <c r="A15" s="67" t="s">
        <v>130</v>
      </c>
      <c r="B15" s="67" t="s">
        <v>131</v>
      </c>
      <c r="C15" s="68">
        <v>397231.0</v>
      </c>
      <c r="D15" s="42" t="s">
        <v>78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4</v>
      </c>
      <c r="W15" s="42" t="s">
        <v>6</v>
      </c>
      <c r="X15" s="42" t="s">
        <v>4</v>
      </c>
      <c r="Y15" s="42" t="s">
        <v>4</v>
      </c>
      <c r="Z15" s="42" t="s">
        <v>4</v>
      </c>
      <c r="AA15" s="42"/>
    </row>
    <row r="16" ht="15.0" customHeight="1">
      <c r="A16" s="67" t="s">
        <v>132</v>
      </c>
      <c r="B16" s="67" t="s">
        <v>133</v>
      </c>
      <c r="C16" s="68">
        <v>332229.0</v>
      </c>
      <c r="D16" s="42" t="s">
        <v>78</v>
      </c>
      <c r="E16" s="42" t="s">
        <v>4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4</v>
      </c>
      <c r="W16" s="42" t="s">
        <v>4</v>
      </c>
      <c r="X16" s="42" t="s">
        <v>4</v>
      </c>
      <c r="Y16" s="42" t="s">
        <v>4</v>
      </c>
      <c r="Z16" s="42" t="s">
        <v>4</v>
      </c>
      <c r="AA16" s="42"/>
    </row>
    <row r="17" ht="15.0" customHeight="1">
      <c r="A17" s="67" t="s">
        <v>134</v>
      </c>
      <c r="B17" s="67" t="s">
        <v>135</v>
      </c>
      <c r="C17" s="68">
        <v>390285.0</v>
      </c>
      <c r="D17" s="42" t="s">
        <v>78</v>
      </c>
      <c r="E17" s="42" t="s">
        <v>4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4</v>
      </c>
      <c r="L17" s="42" t="s">
        <v>4</v>
      </c>
      <c r="M17" s="42" t="s">
        <v>4</v>
      </c>
      <c r="N17" s="42" t="s">
        <v>4</v>
      </c>
      <c r="O17" s="42" t="s">
        <v>4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4</v>
      </c>
      <c r="W17" s="42" t="s">
        <v>4</v>
      </c>
      <c r="X17" s="42" t="s">
        <v>4</v>
      </c>
      <c r="Y17" s="42" t="s">
        <v>4</v>
      </c>
      <c r="Z17" s="42" t="s">
        <v>4</v>
      </c>
      <c r="AA17" s="42"/>
    </row>
    <row r="18" ht="15.0" customHeight="1">
      <c r="A18" s="67" t="s">
        <v>136</v>
      </c>
      <c r="B18" s="67" t="s">
        <v>137</v>
      </c>
      <c r="C18" s="68">
        <v>396863.0</v>
      </c>
      <c r="D18" s="42" t="s">
        <v>78</v>
      </c>
      <c r="E18" s="42" t="s">
        <v>4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4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4</v>
      </c>
      <c r="P18" s="42" t="s">
        <v>4</v>
      </c>
      <c r="Q18" s="42" t="s">
        <v>4</v>
      </c>
      <c r="R18" s="42" t="s">
        <v>4</v>
      </c>
      <c r="S18" s="42" t="s">
        <v>4</v>
      </c>
      <c r="T18" s="42" t="s">
        <v>4</v>
      </c>
      <c r="U18" s="42" t="s">
        <v>4</v>
      </c>
      <c r="V18" s="42" t="s">
        <v>4</v>
      </c>
      <c r="W18" s="42" t="s">
        <v>4</v>
      </c>
      <c r="X18" s="42" t="s">
        <v>4</v>
      </c>
      <c r="Y18" s="42" t="s">
        <v>4</v>
      </c>
      <c r="Z18" s="42" t="s">
        <v>4</v>
      </c>
      <c r="AA18" s="42"/>
    </row>
    <row r="19" ht="15.0" customHeight="1">
      <c r="A19" s="67" t="s">
        <v>138</v>
      </c>
      <c r="B19" s="67" t="s">
        <v>139</v>
      </c>
      <c r="C19" s="68">
        <v>300227.0</v>
      </c>
      <c r="D19" s="42" t="s">
        <v>78</v>
      </c>
      <c r="E19" s="42" t="s">
        <v>4</v>
      </c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4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4</v>
      </c>
      <c r="W19" s="42" t="s">
        <v>4</v>
      </c>
      <c r="X19" s="42" t="s">
        <v>4</v>
      </c>
      <c r="Y19" s="42" t="s">
        <v>4</v>
      </c>
      <c r="Z19" s="42" t="s">
        <v>4</v>
      </c>
      <c r="AA19" s="42"/>
    </row>
    <row r="20" ht="15.0" customHeight="1">
      <c r="A20" s="67" t="s">
        <v>140</v>
      </c>
      <c r="B20" s="67" t="s">
        <v>141</v>
      </c>
      <c r="C20" s="68">
        <v>397617.0</v>
      </c>
      <c r="D20" s="42" t="s">
        <v>78</v>
      </c>
      <c r="E20" s="42" t="s">
        <v>4</v>
      </c>
      <c r="F20" s="42" t="s">
        <v>4</v>
      </c>
      <c r="G20" s="42" t="s">
        <v>4</v>
      </c>
      <c r="H20" s="42" t="s">
        <v>4</v>
      </c>
      <c r="I20" s="42" t="s">
        <v>4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4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4</v>
      </c>
      <c r="W20" s="42" t="s">
        <v>4</v>
      </c>
      <c r="X20" s="42" t="s">
        <v>4</v>
      </c>
      <c r="Y20" s="42" t="s">
        <v>4</v>
      </c>
      <c r="Z20" s="42" t="s">
        <v>4</v>
      </c>
      <c r="AA20" s="42"/>
    </row>
    <row r="21" ht="15.0" customHeight="1">
      <c r="A21" s="67" t="s">
        <v>142</v>
      </c>
      <c r="B21" s="67" t="s">
        <v>143</v>
      </c>
      <c r="C21" s="68">
        <v>347294.0</v>
      </c>
      <c r="D21" s="42" t="s">
        <v>78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4</v>
      </c>
      <c r="V21" s="42" t="s">
        <v>4</v>
      </c>
      <c r="W21" s="42" t="s">
        <v>4</v>
      </c>
      <c r="X21" s="42" t="s">
        <v>4</v>
      </c>
      <c r="Y21" s="42" t="s">
        <v>4</v>
      </c>
      <c r="Z21" s="42" t="s">
        <v>4</v>
      </c>
      <c r="AA21" s="42"/>
    </row>
    <row r="22" ht="15.0" customHeight="1">
      <c r="A22" s="67" t="s">
        <v>144</v>
      </c>
      <c r="B22" s="67" t="s">
        <v>145</v>
      </c>
      <c r="C22" s="68">
        <v>371295.0</v>
      </c>
      <c r="D22" s="42" t="s">
        <v>78</v>
      </c>
      <c r="E22" s="42" t="s">
        <v>4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4</v>
      </c>
      <c r="V22" s="42" t="s">
        <v>4</v>
      </c>
      <c r="W22" s="42" t="s">
        <v>4</v>
      </c>
      <c r="X22" s="42" t="s">
        <v>4</v>
      </c>
      <c r="Y22" s="42" t="s">
        <v>4</v>
      </c>
      <c r="Z22" s="42" t="s">
        <v>4</v>
      </c>
      <c r="AA22" s="42"/>
    </row>
    <row r="23" ht="15.0" customHeight="1">
      <c r="A23" s="67" t="s">
        <v>146</v>
      </c>
      <c r="B23" s="67" t="s">
        <v>147</v>
      </c>
      <c r="C23" s="68">
        <v>397159.0</v>
      </c>
      <c r="D23" s="42" t="s">
        <v>78</v>
      </c>
      <c r="E23" s="42" t="s">
        <v>4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4</v>
      </c>
      <c r="S23" s="42" t="s">
        <v>4</v>
      </c>
      <c r="T23" s="42" t="s">
        <v>4</v>
      </c>
      <c r="U23" s="42" t="s">
        <v>4</v>
      </c>
      <c r="V23" s="42" t="s">
        <v>4</v>
      </c>
      <c r="W23" s="42" t="s">
        <v>4</v>
      </c>
      <c r="X23" s="42" t="s">
        <v>4</v>
      </c>
      <c r="Y23" s="42" t="s">
        <v>4</v>
      </c>
      <c r="Z23" s="42" t="s">
        <v>4</v>
      </c>
      <c r="AA23" s="42"/>
    </row>
    <row r="24" ht="15.0" customHeight="1">
      <c r="A24" s="67" t="s">
        <v>148</v>
      </c>
      <c r="B24" s="67" t="s">
        <v>149</v>
      </c>
      <c r="C24" s="68">
        <v>397521.0</v>
      </c>
      <c r="D24" s="42" t="s">
        <v>78</v>
      </c>
      <c r="E24" s="42" t="s">
        <v>4</v>
      </c>
      <c r="F24" s="42" t="s">
        <v>4</v>
      </c>
      <c r="G24" s="42" t="s">
        <v>4</v>
      </c>
      <c r="H24" s="42" t="s">
        <v>4</v>
      </c>
      <c r="I24" s="42" t="s">
        <v>4</v>
      </c>
      <c r="J24" s="42" t="s">
        <v>4</v>
      </c>
      <c r="K24" s="42" t="s">
        <v>4</v>
      </c>
      <c r="L24" s="42" t="s">
        <v>4</v>
      </c>
      <c r="M24" s="42" t="s">
        <v>4</v>
      </c>
      <c r="N24" s="42" t="s">
        <v>4</v>
      </c>
      <c r="O24" s="42" t="s">
        <v>4</v>
      </c>
      <c r="P24" s="42" t="s">
        <v>4</v>
      </c>
      <c r="Q24" s="42" t="s">
        <v>4</v>
      </c>
      <c r="R24" s="42" t="s">
        <v>4</v>
      </c>
      <c r="S24" s="42" t="s">
        <v>4</v>
      </c>
      <c r="T24" s="42" t="s">
        <v>4</v>
      </c>
      <c r="U24" s="42" t="s">
        <v>4</v>
      </c>
      <c r="V24" s="42" t="s">
        <v>4</v>
      </c>
      <c r="W24" s="42" t="s">
        <v>4</v>
      </c>
      <c r="X24" s="42" t="s">
        <v>4</v>
      </c>
      <c r="Y24" s="42" t="s">
        <v>4</v>
      </c>
      <c r="Z24" s="42" t="s">
        <v>4</v>
      </c>
      <c r="AA24" s="42"/>
    </row>
    <row r="25" ht="15.0" customHeight="1">
      <c r="A25" s="67" t="s">
        <v>150</v>
      </c>
      <c r="B25" s="67" t="s">
        <v>151</v>
      </c>
      <c r="C25" s="68">
        <v>395368.0</v>
      </c>
      <c r="D25" s="42" t="s">
        <v>78</v>
      </c>
      <c r="E25" s="42" t="s">
        <v>4</v>
      </c>
      <c r="F25" s="42" t="s">
        <v>4</v>
      </c>
      <c r="G25" s="42" t="s">
        <v>4</v>
      </c>
      <c r="H25" s="42" t="s">
        <v>4</v>
      </c>
      <c r="I25" s="42" t="s">
        <v>4</v>
      </c>
      <c r="J25" s="42" t="s">
        <v>4</v>
      </c>
      <c r="K25" s="42" t="s">
        <v>4</v>
      </c>
      <c r="L25" s="42" t="s">
        <v>4</v>
      </c>
      <c r="M25" s="42" t="s">
        <v>4</v>
      </c>
      <c r="N25" s="42" t="s">
        <v>4</v>
      </c>
      <c r="O25" s="42" t="s">
        <v>4</v>
      </c>
      <c r="P25" s="42" t="s">
        <v>4</v>
      </c>
      <c r="Q25" s="42" t="s">
        <v>4</v>
      </c>
      <c r="R25" s="42" t="s">
        <v>4</v>
      </c>
      <c r="S25" s="42" t="s">
        <v>4</v>
      </c>
      <c r="T25" s="42" t="s">
        <v>4</v>
      </c>
      <c r="U25" s="42" t="s">
        <v>4</v>
      </c>
      <c r="V25" s="42" t="s">
        <v>4</v>
      </c>
      <c r="W25" s="42" t="s">
        <v>4</v>
      </c>
      <c r="X25" s="42" t="s">
        <v>4</v>
      </c>
      <c r="Y25" s="42" t="s">
        <v>4</v>
      </c>
      <c r="Z25" s="42" t="s">
        <v>4</v>
      </c>
      <c r="AA25" s="42"/>
    </row>
    <row r="26" ht="15.0" customHeight="1">
      <c r="A26" s="67" t="s">
        <v>152</v>
      </c>
      <c r="B26" s="67" t="s">
        <v>153</v>
      </c>
      <c r="C26" s="68">
        <v>371776.0</v>
      </c>
      <c r="D26" s="42" t="s">
        <v>78</v>
      </c>
      <c r="E26" s="42" t="s">
        <v>4</v>
      </c>
      <c r="F26" s="42" t="s">
        <v>4</v>
      </c>
      <c r="G26" s="42" t="s">
        <v>4</v>
      </c>
      <c r="H26" s="42" t="s">
        <v>4</v>
      </c>
      <c r="I26" s="42" t="s">
        <v>4</v>
      </c>
      <c r="J26" s="42" t="s">
        <v>4</v>
      </c>
      <c r="K26" s="42" t="s">
        <v>4</v>
      </c>
      <c r="L26" s="42" t="s">
        <v>4</v>
      </c>
      <c r="M26" s="42" t="s">
        <v>4</v>
      </c>
      <c r="N26" s="42" t="s">
        <v>4</v>
      </c>
      <c r="O26" s="42" t="s">
        <v>4</v>
      </c>
      <c r="P26" s="42" t="s">
        <v>4</v>
      </c>
      <c r="Q26" s="42" t="s">
        <v>4</v>
      </c>
      <c r="R26" s="42" t="s">
        <v>4</v>
      </c>
      <c r="S26" s="42" t="s">
        <v>4</v>
      </c>
      <c r="T26" s="42" t="s">
        <v>4</v>
      </c>
      <c r="U26" s="42" t="s">
        <v>4</v>
      </c>
      <c r="V26" s="42" t="s">
        <v>4</v>
      </c>
      <c r="W26" s="42" t="s">
        <v>4</v>
      </c>
      <c r="X26" s="42" t="s">
        <v>4</v>
      </c>
      <c r="Y26" s="42" t="s">
        <v>4</v>
      </c>
      <c r="Z26" s="42" t="s">
        <v>4</v>
      </c>
      <c r="AA26" s="42"/>
    </row>
    <row r="27" ht="15.0" customHeight="1">
      <c r="A27" s="67" t="s">
        <v>126</v>
      </c>
      <c r="B27" s="67" t="s">
        <v>154</v>
      </c>
      <c r="C27" s="68">
        <v>351694.0</v>
      </c>
      <c r="D27" s="42" t="s">
        <v>78</v>
      </c>
      <c r="E27" s="42" t="s">
        <v>4</v>
      </c>
      <c r="F27" s="42" t="s">
        <v>4</v>
      </c>
      <c r="G27" s="42" t="s">
        <v>4</v>
      </c>
      <c r="H27" s="42" t="s">
        <v>4</v>
      </c>
      <c r="I27" s="42" t="s">
        <v>4</v>
      </c>
      <c r="J27" s="42" t="s">
        <v>4</v>
      </c>
      <c r="K27" s="42" t="s">
        <v>4</v>
      </c>
      <c r="L27" s="42" t="s">
        <v>4</v>
      </c>
      <c r="M27" s="42" t="s">
        <v>4</v>
      </c>
      <c r="N27" s="42" t="s">
        <v>4</v>
      </c>
      <c r="O27" s="42" t="s">
        <v>4</v>
      </c>
      <c r="P27" s="42" t="s">
        <v>4</v>
      </c>
      <c r="Q27" s="42" t="s">
        <v>4</v>
      </c>
      <c r="R27" s="42" t="s">
        <v>4</v>
      </c>
      <c r="S27" s="42" t="s">
        <v>4</v>
      </c>
      <c r="T27" s="42" t="s">
        <v>4</v>
      </c>
      <c r="U27" s="42" t="s">
        <v>4</v>
      </c>
      <c r="V27" s="42" t="s">
        <v>4</v>
      </c>
      <c r="W27" s="42" t="s">
        <v>4</v>
      </c>
      <c r="X27" s="42" t="s">
        <v>4</v>
      </c>
      <c r="Y27" s="42" t="s">
        <v>4</v>
      </c>
      <c r="Z27" s="42" t="s">
        <v>4</v>
      </c>
      <c r="AA27" s="42"/>
    </row>
    <row r="28" ht="15.0" customHeight="1">
      <c r="A28" s="67" t="s">
        <v>155</v>
      </c>
      <c r="B28" s="67" t="s">
        <v>156</v>
      </c>
      <c r="C28" s="68">
        <v>383828.0</v>
      </c>
      <c r="D28" s="42" t="s">
        <v>78</v>
      </c>
      <c r="E28" s="42" t="s">
        <v>4</v>
      </c>
      <c r="F28" s="42" t="s">
        <v>4</v>
      </c>
      <c r="G28" s="42" t="s">
        <v>4</v>
      </c>
      <c r="H28" s="42" t="s">
        <v>4</v>
      </c>
      <c r="I28" s="42" t="s">
        <v>4</v>
      </c>
      <c r="J28" s="42" t="s">
        <v>4</v>
      </c>
      <c r="K28" s="42" t="s">
        <v>4</v>
      </c>
      <c r="L28" s="42" t="s">
        <v>4</v>
      </c>
      <c r="M28" s="42" t="s">
        <v>4</v>
      </c>
      <c r="N28" s="42" t="s">
        <v>4</v>
      </c>
      <c r="O28" s="42" t="s">
        <v>4</v>
      </c>
      <c r="P28" s="42" t="s">
        <v>4</v>
      </c>
      <c r="Q28" s="42" t="s">
        <v>4</v>
      </c>
      <c r="R28" s="42" t="s">
        <v>4</v>
      </c>
      <c r="S28" s="42" t="s">
        <v>4</v>
      </c>
      <c r="T28" s="42" t="s">
        <v>4</v>
      </c>
      <c r="U28" s="42" t="s">
        <v>4</v>
      </c>
      <c r="V28" s="42" t="s">
        <v>4</v>
      </c>
      <c r="W28" s="42" t="s">
        <v>4</v>
      </c>
      <c r="X28" s="42" t="s">
        <v>4</v>
      </c>
      <c r="Y28" s="42" t="s">
        <v>4</v>
      </c>
      <c r="Z28" s="42" t="s">
        <v>4</v>
      </c>
      <c r="AA28" s="42"/>
    </row>
    <row r="29" ht="15.0" customHeight="1">
      <c r="A29" s="67" t="s">
        <v>157</v>
      </c>
      <c r="B29" s="67" t="s">
        <v>158</v>
      </c>
      <c r="C29" s="68">
        <v>380685.0</v>
      </c>
      <c r="D29" s="42" t="s">
        <v>78</v>
      </c>
      <c r="E29" s="42" t="s">
        <v>4</v>
      </c>
      <c r="F29" s="42" t="s">
        <v>4</v>
      </c>
      <c r="G29" s="42" t="s">
        <v>4</v>
      </c>
      <c r="H29" s="42" t="s">
        <v>4</v>
      </c>
      <c r="I29" s="42" t="s">
        <v>4</v>
      </c>
      <c r="J29" s="42" t="s">
        <v>4</v>
      </c>
      <c r="K29" s="42" t="s">
        <v>4</v>
      </c>
      <c r="L29" s="42" t="s">
        <v>4</v>
      </c>
      <c r="M29" s="42" t="s">
        <v>4</v>
      </c>
      <c r="N29" s="42" t="s">
        <v>4</v>
      </c>
      <c r="O29" s="42" t="s">
        <v>4</v>
      </c>
      <c r="P29" s="42" t="s">
        <v>4</v>
      </c>
      <c r="Q29" s="42" t="s">
        <v>4</v>
      </c>
      <c r="R29" s="42" t="s">
        <v>4</v>
      </c>
      <c r="S29" s="42" t="s">
        <v>4</v>
      </c>
      <c r="T29" s="42" t="s">
        <v>4</v>
      </c>
      <c r="U29" s="42" t="s">
        <v>4</v>
      </c>
      <c r="V29" s="42" t="s">
        <v>4</v>
      </c>
      <c r="W29" s="42" t="s">
        <v>4</v>
      </c>
      <c r="X29" s="42" t="s">
        <v>4</v>
      </c>
      <c r="Y29" s="42" t="s">
        <v>4</v>
      </c>
      <c r="Z29" s="42" t="s">
        <v>4</v>
      </c>
      <c r="AA29" s="42"/>
    </row>
    <row r="30" ht="15.0" customHeight="1">
      <c r="A30" s="67" t="s">
        <v>159</v>
      </c>
      <c r="B30" s="67" t="s">
        <v>160</v>
      </c>
      <c r="C30" s="68">
        <v>390977.0</v>
      </c>
      <c r="D30" s="42" t="s">
        <v>78</v>
      </c>
      <c r="E30" s="42" t="s">
        <v>4</v>
      </c>
      <c r="F30" s="42" t="s">
        <v>4</v>
      </c>
      <c r="G30" s="42" t="s">
        <v>4</v>
      </c>
      <c r="H30" s="42" t="s">
        <v>4</v>
      </c>
      <c r="I30" s="42" t="s">
        <v>4</v>
      </c>
      <c r="J30" s="42" t="s">
        <v>4</v>
      </c>
      <c r="K30" s="42" t="s">
        <v>4</v>
      </c>
      <c r="L30" s="42" t="s">
        <v>4</v>
      </c>
      <c r="M30" s="42" t="s">
        <v>4</v>
      </c>
      <c r="N30" s="42" t="s">
        <v>4</v>
      </c>
      <c r="O30" s="42" t="s">
        <v>4</v>
      </c>
      <c r="P30" s="42" t="s">
        <v>4</v>
      </c>
      <c r="Q30" s="42" t="s">
        <v>4</v>
      </c>
      <c r="R30" s="42" t="s">
        <v>4</v>
      </c>
      <c r="S30" s="42" t="s">
        <v>4</v>
      </c>
      <c r="T30" s="42" t="s">
        <v>4</v>
      </c>
      <c r="U30" s="42" t="s">
        <v>4</v>
      </c>
      <c r="V30" s="42" t="s">
        <v>4</v>
      </c>
      <c r="W30" s="42" t="s">
        <v>4</v>
      </c>
      <c r="X30" s="42" t="s">
        <v>4</v>
      </c>
      <c r="Y30" s="42" t="s">
        <v>4</v>
      </c>
      <c r="Z30" s="42" t="s">
        <v>4</v>
      </c>
      <c r="AA30" s="42"/>
    </row>
    <row r="31" ht="15.0" customHeight="1">
      <c r="A31" s="57" t="s">
        <v>99</v>
      </c>
      <c r="B31" s="57" t="s">
        <v>100</v>
      </c>
      <c r="C31" s="58">
        <v>353303.0</v>
      </c>
      <c r="D31" s="42" t="s">
        <v>68</v>
      </c>
      <c r="E31" s="42" t="s">
        <v>4</v>
      </c>
      <c r="F31" s="42" t="s">
        <v>4</v>
      </c>
      <c r="G31" s="42" t="s">
        <v>4</v>
      </c>
      <c r="H31" s="42" t="s">
        <v>4</v>
      </c>
      <c r="I31" s="42" t="s">
        <v>4</v>
      </c>
      <c r="J31" s="42" t="s">
        <v>4</v>
      </c>
      <c r="K31" s="42" t="s">
        <v>4</v>
      </c>
      <c r="L31" s="42" t="s">
        <v>4</v>
      </c>
      <c r="M31" s="42" t="s">
        <v>4</v>
      </c>
      <c r="N31" s="42" t="s">
        <v>4</v>
      </c>
      <c r="O31" s="42" t="s">
        <v>4</v>
      </c>
      <c r="P31" s="42" t="s">
        <v>4</v>
      </c>
      <c r="Q31" s="42" t="s">
        <v>4</v>
      </c>
      <c r="R31" s="42" t="s">
        <v>4</v>
      </c>
      <c r="S31" s="42" t="s">
        <v>4</v>
      </c>
      <c r="T31" s="42" t="s">
        <v>4</v>
      </c>
      <c r="U31" s="42" t="s">
        <v>4</v>
      </c>
      <c r="V31" s="42" t="s">
        <v>4</v>
      </c>
      <c r="W31" s="42" t="s">
        <v>4</v>
      </c>
      <c r="X31" s="42" t="s">
        <v>4</v>
      </c>
      <c r="Y31" s="42" t="s">
        <v>4</v>
      </c>
      <c r="Z31" s="42" t="s">
        <v>4</v>
      </c>
      <c r="AA31" s="42"/>
    </row>
    <row r="32" ht="15.0" customHeight="1">
      <c r="A32" s="60" t="s">
        <v>115</v>
      </c>
      <c r="B32" s="60" t="s">
        <v>116</v>
      </c>
      <c r="C32" s="58">
        <v>254387.0</v>
      </c>
      <c r="D32" s="42" t="s">
        <v>68</v>
      </c>
      <c r="E32" s="42" t="s">
        <v>4</v>
      </c>
      <c r="F32" s="42" t="s">
        <v>4</v>
      </c>
      <c r="G32" s="42" t="s">
        <v>4</v>
      </c>
      <c r="H32" s="42" t="s">
        <v>4</v>
      </c>
      <c r="I32" s="42" t="s">
        <v>4</v>
      </c>
      <c r="J32" s="42" t="s">
        <v>4</v>
      </c>
      <c r="K32" s="42" t="s">
        <v>4</v>
      </c>
      <c r="L32" s="42" t="s">
        <v>4</v>
      </c>
      <c r="M32" s="42" t="s">
        <v>4</v>
      </c>
      <c r="N32" s="42" t="s">
        <v>4</v>
      </c>
      <c r="O32" s="42" t="s">
        <v>4</v>
      </c>
      <c r="P32" s="42" t="s">
        <v>4</v>
      </c>
      <c r="Q32" s="42" t="s">
        <v>4</v>
      </c>
      <c r="R32" s="42" t="s">
        <v>4</v>
      </c>
      <c r="S32" s="42" t="s">
        <v>4</v>
      </c>
      <c r="T32" s="42" t="s">
        <v>4</v>
      </c>
      <c r="U32" s="42" t="s">
        <v>4</v>
      </c>
      <c r="V32" s="42" t="s">
        <v>4</v>
      </c>
      <c r="W32" s="42" t="s">
        <v>4</v>
      </c>
      <c r="X32" s="42" t="s">
        <v>4</v>
      </c>
      <c r="Y32" s="42" t="s">
        <v>4</v>
      </c>
      <c r="Z32" s="42" t="s">
        <v>4</v>
      </c>
      <c r="AA32" s="42"/>
    </row>
    <row r="33" ht="15.0" customHeight="1">
      <c r="A33" s="67"/>
      <c r="B33" s="67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ht="30.0" customHeight="1">
      <c r="A34" s="67"/>
      <c r="B34" s="67"/>
      <c r="C34" s="68"/>
      <c r="D34" s="42"/>
      <c r="E34" s="49">
        <f t="shared" ref="E34:AA34" si="2">IF((COUNTIF(E8:E33,"*P*") + COUNTIF(E8:E33, "*L*")) &gt;= 0, COUNTIF(E8:E33,"*P*") + COUNTIF(E8:E33, "*L*"), "")</f>
        <v>24</v>
      </c>
      <c r="F34" s="49">
        <f t="shared" si="2"/>
        <v>24</v>
      </c>
      <c r="G34" s="49">
        <f t="shared" si="2"/>
        <v>24</v>
      </c>
      <c r="H34" s="49">
        <f t="shared" si="2"/>
        <v>24</v>
      </c>
      <c r="I34" s="49">
        <f t="shared" si="2"/>
        <v>24</v>
      </c>
      <c r="J34" s="49">
        <f t="shared" si="2"/>
        <v>24</v>
      </c>
      <c r="K34" s="49">
        <f t="shared" si="2"/>
        <v>24</v>
      </c>
      <c r="L34" s="49">
        <f t="shared" si="2"/>
        <v>24</v>
      </c>
      <c r="M34" s="49">
        <f t="shared" si="2"/>
        <v>24</v>
      </c>
      <c r="N34" s="49">
        <f t="shared" si="2"/>
        <v>24</v>
      </c>
      <c r="O34" s="49">
        <f t="shared" si="2"/>
        <v>24</v>
      </c>
      <c r="P34" s="49">
        <f t="shared" si="2"/>
        <v>24</v>
      </c>
      <c r="Q34" s="49">
        <f t="shared" si="2"/>
        <v>24</v>
      </c>
      <c r="R34" s="49">
        <f t="shared" si="2"/>
        <v>24</v>
      </c>
      <c r="S34" s="49">
        <f t="shared" si="2"/>
        <v>24</v>
      </c>
      <c r="T34" s="49">
        <f t="shared" si="2"/>
        <v>24</v>
      </c>
      <c r="U34" s="49">
        <f t="shared" si="2"/>
        <v>24</v>
      </c>
      <c r="V34" s="49">
        <f t="shared" si="2"/>
        <v>24</v>
      </c>
      <c r="W34" s="49">
        <f t="shared" si="2"/>
        <v>23</v>
      </c>
      <c r="X34" s="49">
        <f t="shared" si="2"/>
        <v>24</v>
      </c>
      <c r="Y34" s="49">
        <f t="shared" si="2"/>
        <v>24</v>
      </c>
      <c r="Z34" s="49">
        <f t="shared" si="2"/>
        <v>24</v>
      </c>
      <c r="AA34" s="49">
        <f t="shared" si="2"/>
        <v>0</v>
      </c>
    </row>
    <row r="35" ht="30.0" customHeight="1">
      <c r="A35" s="67"/>
      <c r="B35" s="67"/>
      <c r="C35" s="68"/>
      <c r="D35" s="42"/>
      <c r="E35" s="54">
        <f t="shared" ref="E35:AA35" si="3">IF((COUNTIF(E8:E33,"*A*") + COUNTIF(E8:E33, "*E*")) &gt;= 0, COUNTIF(E8:E33,"*A*") + COUNTIF(E8:E33, "*E*"), "")</f>
        <v>0</v>
      </c>
      <c r="F35" s="54">
        <f t="shared" si="3"/>
        <v>0</v>
      </c>
      <c r="G35" s="54">
        <f t="shared" si="3"/>
        <v>0</v>
      </c>
      <c r="H35" s="54">
        <f t="shared" si="3"/>
        <v>0</v>
      </c>
      <c r="I35" s="54">
        <f t="shared" si="3"/>
        <v>0</v>
      </c>
      <c r="J35" s="54">
        <f t="shared" si="3"/>
        <v>0</v>
      </c>
      <c r="K35" s="54">
        <f t="shared" si="3"/>
        <v>0</v>
      </c>
      <c r="L35" s="54">
        <f t="shared" si="3"/>
        <v>0</v>
      </c>
      <c r="M35" s="54">
        <f t="shared" si="3"/>
        <v>0</v>
      </c>
      <c r="N35" s="54">
        <f t="shared" si="3"/>
        <v>0</v>
      </c>
      <c r="O35" s="54">
        <f t="shared" si="3"/>
        <v>0</v>
      </c>
      <c r="P35" s="54">
        <f t="shared" si="3"/>
        <v>0</v>
      </c>
      <c r="Q35" s="54">
        <f t="shared" si="3"/>
        <v>0</v>
      </c>
      <c r="R35" s="54">
        <f t="shared" si="3"/>
        <v>0</v>
      </c>
      <c r="S35" s="54">
        <f t="shared" si="3"/>
        <v>0</v>
      </c>
      <c r="T35" s="54">
        <f t="shared" si="3"/>
        <v>0</v>
      </c>
      <c r="U35" s="54">
        <f t="shared" si="3"/>
        <v>0</v>
      </c>
      <c r="V35" s="54">
        <f t="shared" si="3"/>
        <v>0</v>
      </c>
      <c r="W35" s="54">
        <f t="shared" si="3"/>
        <v>1</v>
      </c>
      <c r="X35" s="54">
        <f t="shared" si="3"/>
        <v>0</v>
      </c>
      <c r="Y35" s="54">
        <f t="shared" si="3"/>
        <v>0</v>
      </c>
      <c r="Z35" s="54">
        <f t="shared" si="3"/>
        <v>0</v>
      </c>
      <c r="AA35" s="54">
        <f t="shared" si="3"/>
        <v>0</v>
      </c>
    </row>
    <row r="36" ht="30.0" customHeight="1">
      <c r="A36" s="67"/>
      <c r="B36" s="67"/>
      <c r="C36" s="68"/>
      <c r="D36" s="42"/>
      <c r="E36" s="55">
        <f t="shared" ref="E36:AA36" si="4">SUM(E34+E35)</f>
        <v>24</v>
      </c>
      <c r="F36" s="55">
        <f t="shared" si="4"/>
        <v>24</v>
      </c>
      <c r="G36" s="55">
        <f t="shared" si="4"/>
        <v>24</v>
      </c>
      <c r="H36" s="55">
        <f t="shared" si="4"/>
        <v>24</v>
      </c>
      <c r="I36" s="55">
        <f t="shared" si="4"/>
        <v>24</v>
      </c>
      <c r="J36" s="55">
        <f t="shared" si="4"/>
        <v>24</v>
      </c>
      <c r="K36" s="55">
        <f t="shared" si="4"/>
        <v>24</v>
      </c>
      <c r="L36" s="55">
        <f t="shared" si="4"/>
        <v>24</v>
      </c>
      <c r="M36" s="55">
        <f t="shared" si="4"/>
        <v>24</v>
      </c>
      <c r="N36" s="55">
        <f t="shared" si="4"/>
        <v>24</v>
      </c>
      <c r="O36" s="55">
        <f t="shared" si="4"/>
        <v>24</v>
      </c>
      <c r="P36" s="55">
        <f t="shared" si="4"/>
        <v>24</v>
      </c>
      <c r="Q36" s="55">
        <f t="shared" si="4"/>
        <v>24</v>
      </c>
      <c r="R36" s="55">
        <f t="shared" si="4"/>
        <v>24</v>
      </c>
      <c r="S36" s="55">
        <f t="shared" si="4"/>
        <v>24</v>
      </c>
      <c r="T36" s="55">
        <f t="shared" si="4"/>
        <v>24</v>
      </c>
      <c r="U36" s="55">
        <f t="shared" si="4"/>
        <v>24</v>
      </c>
      <c r="V36" s="55">
        <f t="shared" si="4"/>
        <v>24</v>
      </c>
      <c r="W36" s="55">
        <f t="shared" si="4"/>
        <v>24</v>
      </c>
      <c r="X36" s="55">
        <f t="shared" si="4"/>
        <v>24</v>
      </c>
      <c r="Y36" s="55">
        <f t="shared" si="4"/>
        <v>24</v>
      </c>
      <c r="Z36" s="55">
        <f t="shared" si="4"/>
        <v>24</v>
      </c>
      <c r="AA36" s="55">
        <f t="shared" si="4"/>
        <v>0</v>
      </c>
    </row>
    <row r="37" ht="30.0" customHeight="1">
      <c r="A37" s="57"/>
      <c r="B37" s="57"/>
      <c r="C37" s="58"/>
      <c r="D37" s="42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ht="30.0" customHeight="1">
      <c r="A38" s="60"/>
      <c r="B38" s="60"/>
      <c r="C38" s="58"/>
      <c r="D38" s="42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8 C28 C32 C34 C3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3">
    <cfRule type="cellIs" dxfId="0" priority="4" operator="equal">
      <formula>"S"</formula>
    </cfRule>
  </conditionalFormatting>
  <conditionalFormatting sqref="E8:AA33">
    <cfRule type="cellIs" dxfId="1" priority="5" operator="equal">
      <formula>"N"</formula>
    </cfRule>
  </conditionalFormatting>
  <conditionalFormatting sqref="E8:AA33">
    <cfRule type="cellIs" dxfId="2" priority="6" operator="equal">
      <formula>"D"</formula>
    </cfRule>
  </conditionalFormatting>
  <conditionalFormatting sqref="E8:AA33">
    <cfRule type="cellIs" dxfId="9" priority="7" operator="equal">
      <formula>"R"</formula>
    </cfRule>
  </conditionalFormatting>
  <conditionalFormatting sqref="E8:AA33">
    <cfRule type="cellIs" dxfId="4" priority="8" operator="equal">
      <formula>"H"</formula>
    </cfRule>
  </conditionalFormatting>
  <conditionalFormatting sqref="E8:AA33">
    <cfRule type="cellIs" dxfId="5" priority="9" operator="equal">
      <formula>"E"</formula>
    </cfRule>
  </conditionalFormatting>
  <conditionalFormatting sqref="E8:AA33">
    <cfRule type="cellIs" dxfId="10" priority="10" operator="equal">
      <formula>"L"</formula>
    </cfRule>
  </conditionalFormatting>
  <conditionalFormatting sqref="E8:AA33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8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2">
        <v>22.0</v>
      </c>
      <c r="K2" s="29" t="s">
        <v>37</v>
      </c>
      <c r="N2" s="33">
        <f t="shared" ref="N2:N3" si="1">SUM(E34:AA34)</f>
        <v>326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2">
        <v>2.0</v>
      </c>
      <c r="K3" s="29" t="s">
        <v>43</v>
      </c>
      <c r="N3" s="33">
        <f t="shared" si="1"/>
        <v>4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COUNTIF(D7:D28, "Student - Added")</f>
        <v>1</v>
      </c>
      <c r="K4" s="29" t="s">
        <v>49</v>
      </c>
      <c r="N4" s="33">
        <f>sum(E36:AA36)</f>
        <v>330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COUNTIF(D7:D28, "Student - Dropped") + COUNTIF(D7:D28, "Student Aide - Dropped")</f>
        <v>0</v>
      </c>
      <c r="K5" s="31" t="s">
        <v>55</v>
      </c>
      <c r="N5" s="34">
        <f>SUM(N2/N4)</f>
        <v>0.9878787879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46113.0</v>
      </c>
      <c r="F7" s="40">
        <v>46114.0</v>
      </c>
      <c r="G7" s="40">
        <v>46115.0</v>
      </c>
      <c r="H7" s="40">
        <v>46118.0</v>
      </c>
      <c r="I7" s="40">
        <v>46119.0</v>
      </c>
      <c r="J7" s="40">
        <v>46120.0</v>
      </c>
      <c r="K7" s="40">
        <v>46121.0</v>
      </c>
      <c r="L7" s="40">
        <v>46122.0</v>
      </c>
      <c r="M7" s="40">
        <v>46125.0</v>
      </c>
      <c r="N7" s="40">
        <v>46126.0</v>
      </c>
      <c r="O7" s="40">
        <v>46127.0</v>
      </c>
      <c r="P7" s="40">
        <v>46128.0</v>
      </c>
      <c r="Q7" s="40">
        <v>46129.0</v>
      </c>
      <c r="R7" s="40">
        <v>46132.0</v>
      </c>
      <c r="S7" s="40">
        <v>46133.0</v>
      </c>
      <c r="T7" s="40">
        <v>46134.0</v>
      </c>
      <c r="U7" s="40">
        <v>46135.0</v>
      </c>
      <c r="V7" s="40">
        <v>46136.0</v>
      </c>
      <c r="W7" s="40">
        <v>46139.0</v>
      </c>
      <c r="X7" s="40">
        <v>46140.0</v>
      </c>
      <c r="Y7" s="40">
        <v>46141.0</v>
      </c>
      <c r="Z7" s="40">
        <v>46142.0</v>
      </c>
      <c r="AA7" s="40"/>
    </row>
    <row r="8" ht="15.0" customHeight="1">
      <c r="A8" s="70" t="s">
        <v>163</v>
      </c>
      <c r="B8" s="70"/>
      <c r="C8" s="71"/>
      <c r="D8" s="71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65" t="s">
        <v>118</v>
      </c>
      <c r="B9" s="65" t="s">
        <v>119</v>
      </c>
      <c r="C9" s="66">
        <v>368523.0</v>
      </c>
      <c r="D9" s="42" t="s">
        <v>78</v>
      </c>
      <c r="E9" s="42" t="s">
        <v>4</v>
      </c>
      <c r="F9" s="42" t="s">
        <v>4</v>
      </c>
      <c r="G9" s="42"/>
      <c r="H9" s="42" t="s">
        <v>4</v>
      </c>
      <c r="I9" s="42" t="s">
        <v>4</v>
      </c>
      <c r="J9" s="42" t="s">
        <v>4</v>
      </c>
      <c r="K9" s="42" t="s">
        <v>4</v>
      </c>
      <c r="L9" s="42"/>
      <c r="M9" s="42" t="s">
        <v>4</v>
      </c>
      <c r="N9" s="42" t="s">
        <v>4</v>
      </c>
      <c r="O9" s="42" t="s">
        <v>4</v>
      </c>
      <c r="P9" s="42" t="s">
        <v>4</v>
      </c>
      <c r="Q9" s="42"/>
      <c r="R9" s="42" t="s">
        <v>4</v>
      </c>
      <c r="S9" s="42" t="s">
        <v>4</v>
      </c>
      <c r="T9" s="42" t="s">
        <v>4</v>
      </c>
      <c r="U9" s="42" t="s">
        <v>4</v>
      </c>
      <c r="V9" s="42"/>
      <c r="W9" s="42" t="s">
        <v>4</v>
      </c>
      <c r="X9" s="42" t="s">
        <v>4</v>
      </c>
      <c r="Y9" s="42" t="s">
        <v>4</v>
      </c>
      <c r="Z9" s="42" t="s">
        <v>4</v>
      </c>
      <c r="AA9" s="42"/>
    </row>
    <row r="10" ht="15.0" customHeight="1">
      <c r="A10" s="65" t="s">
        <v>120</v>
      </c>
      <c r="B10" s="65" t="s">
        <v>121</v>
      </c>
      <c r="C10" s="66">
        <v>384445.0</v>
      </c>
      <c r="D10" s="42" t="s">
        <v>78</v>
      </c>
      <c r="E10" s="42" t="s">
        <v>4</v>
      </c>
      <c r="F10" s="42" t="s">
        <v>4</v>
      </c>
      <c r="G10" s="42"/>
      <c r="H10" s="42" t="s">
        <v>4</v>
      </c>
      <c r="I10" s="42" t="s">
        <v>4</v>
      </c>
      <c r="J10" s="42" t="s">
        <v>4</v>
      </c>
      <c r="K10" s="42" t="s">
        <v>4</v>
      </c>
      <c r="L10" s="42"/>
      <c r="M10" s="42" t="s">
        <v>4</v>
      </c>
      <c r="N10" s="42" t="s">
        <v>4</v>
      </c>
      <c r="O10" s="42" t="s">
        <v>4</v>
      </c>
      <c r="P10" s="42" t="s">
        <v>4</v>
      </c>
      <c r="Q10" s="42"/>
      <c r="R10" s="42" t="s">
        <v>4</v>
      </c>
      <c r="S10" s="42" t="s">
        <v>4</v>
      </c>
      <c r="T10" s="42" t="s">
        <v>4</v>
      </c>
      <c r="U10" s="42" t="s">
        <v>4</v>
      </c>
      <c r="V10" s="42"/>
      <c r="W10" s="42" t="s">
        <v>4</v>
      </c>
      <c r="X10" s="42" t="s">
        <v>4</v>
      </c>
      <c r="Y10" s="42" t="s">
        <v>4</v>
      </c>
      <c r="Z10" s="42" t="s">
        <v>4</v>
      </c>
      <c r="AA10" s="42"/>
    </row>
    <row r="11" ht="15.0" customHeight="1">
      <c r="A11" s="65" t="s">
        <v>122</v>
      </c>
      <c r="B11" s="65" t="s">
        <v>123</v>
      </c>
      <c r="C11" s="66">
        <v>380027.0</v>
      </c>
      <c r="D11" s="42" t="s">
        <v>78</v>
      </c>
      <c r="E11" s="42" t="s">
        <v>4</v>
      </c>
      <c r="F11" s="42" t="s">
        <v>4</v>
      </c>
      <c r="G11" s="42"/>
      <c r="H11" s="42" t="s">
        <v>4</v>
      </c>
      <c r="I11" s="42" t="s">
        <v>4</v>
      </c>
      <c r="J11" s="42" t="s">
        <v>4</v>
      </c>
      <c r="K11" s="42" t="s">
        <v>4</v>
      </c>
      <c r="L11" s="42"/>
      <c r="M11" s="42" t="s">
        <v>4</v>
      </c>
      <c r="N11" s="42" t="s">
        <v>4</v>
      </c>
      <c r="O11" s="42" t="s">
        <v>4</v>
      </c>
      <c r="P11" s="42" t="s">
        <v>4</v>
      </c>
      <c r="Q11" s="42"/>
      <c r="R11" s="42" t="s">
        <v>4</v>
      </c>
      <c r="S11" s="42" t="s">
        <v>4</v>
      </c>
      <c r="T11" s="42" t="s">
        <v>4</v>
      </c>
      <c r="U11" s="42" t="s">
        <v>4</v>
      </c>
      <c r="V11" s="42"/>
      <c r="W11" s="42" t="s">
        <v>4</v>
      </c>
      <c r="X11" s="42" t="s">
        <v>4</v>
      </c>
      <c r="Y11" s="42" t="s">
        <v>4</v>
      </c>
      <c r="Z11" s="42" t="s">
        <v>8</v>
      </c>
      <c r="AA11" s="42"/>
    </row>
    <row r="12" ht="15.0" customHeight="1">
      <c r="A12" s="65" t="s">
        <v>124</v>
      </c>
      <c r="B12" s="65" t="s">
        <v>125</v>
      </c>
      <c r="C12" s="66">
        <v>396947.0</v>
      </c>
      <c r="D12" s="42" t="s">
        <v>92</v>
      </c>
      <c r="E12" s="42" t="s">
        <v>4</v>
      </c>
      <c r="F12" s="42" t="s">
        <v>4</v>
      </c>
      <c r="G12" s="42"/>
      <c r="H12" s="72"/>
      <c r="I12" s="72"/>
      <c r="J12" s="42" t="s">
        <v>14</v>
      </c>
      <c r="K12" s="42" t="s">
        <v>14</v>
      </c>
      <c r="L12" s="42"/>
      <c r="M12" s="42" t="s">
        <v>14</v>
      </c>
      <c r="N12" s="42" t="s">
        <v>14</v>
      </c>
      <c r="O12" s="42" t="s">
        <v>14</v>
      </c>
      <c r="P12" s="42" t="s">
        <v>14</v>
      </c>
      <c r="Q12" s="42"/>
      <c r="R12" s="42" t="s">
        <v>14</v>
      </c>
      <c r="S12" s="42" t="s">
        <v>14</v>
      </c>
      <c r="T12" s="42" t="s">
        <v>14</v>
      </c>
      <c r="U12" s="42" t="s">
        <v>14</v>
      </c>
      <c r="V12" s="42"/>
      <c r="W12" s="42" t="s">
        <v>14</v>
      </c>
      <c r="X12" s="42" t="s">
        <v>14</v>
      </c>
      <c r="Y12" s="42" t="s">
        <v>14</v>
      </c>
      <c r="Z12" s="42" t="s">
        <v>14</v>
      </c>
      <c r="AA12" s="42"/>
    </row>
    <row r="13" ht="15.0" customHeight="1">
      <c r="A13" s="65" t="s">
        <v>126</v>
      </c>
      <c r="B13" s="65" t="s">
        <v>127</v>
      </c>
      <c r="C13" s="66">
        <v>341113.0</v>
      </c>
      <c r="D13" s="42" t="s">
        <v>78</v>
      </c>
      <c r="E13" s="42" t="s">
        <v>4</v>
      </c>
      <c r="F13" s="42" t="s">
        <v>4</v>
      </c>
      <c r="G13" s="42"/>
      <c r="H13" s="42" t="s">
        <v>4</v>
      </c>
      <c r="I13" s="42" t="s">
        <v>4</v>
      </c>
      <c r="J13" s="42" t="s">
        <v>4</v>
      </c>
      <c r="K13" s="42" t="s">
        <v>4</v>
      </c>
      <c r="L13" s="42"/>
      <c r="M13" s="42" t="s">
        <v>4</v>
      </c>
      <c r="N13" s="42" t="s">
        <v>4</v>
      </c>
      <c r="O13" s="42" t="s">
        <v>4</v>
      </c>
      <c r="P13" s="42" t="s">
        <v>4</v>
      </c>
      <c r="Q13" s="42"/>
      <c r="R13" s="42" t="s">
        <v>4</v>
      </c>
      <c r="S13" s="42" t="s">
        <v>4</v>
      </c>
      <c r="T13" s="42" t="s">
        <v>4</v>
      </c>
      <c r="U13" s="42" t="s">
        <v>4</v>
      </c>
      <c r="V13" s="42"/>
      <c r="W13" s="42" t="s">
        <v>4</v>
      </c>
      <c r="X13" s="42" t="s">
        <v>4</v>
      </c>
      <c r="Y13" s="42" t="s">
        <v>4</v>
      </c>
      <c r="Z13" s="42" t="s">
        <v>4</v>
      </c>
      <c r="AA13" s="42"/>
    </row>
    <row r="14" ht="15.0" customHeight="1">
      <c r="A14" s="73" t="s">
        <v>164</v>
      </c>
      <c r="B14" s="73" t="s">
        <v>165</v>
      </c>
      <c r="C14" s="74">
        <v>386227.0</v>
      </c>
      <c r="D14" s="42" t="s">
        <v>85</v>
      </c>
      <c r="E14" s="72"/>
      <c r="F14" s="72"/>
      <c r="G14" s="42"/>
      <c r="H14" s="42" t="s">
        <v>4</v>
      </c>
      <c r="I14" s="42" t="s">
        <v>4</v>
      </c>
      <c r="J14" s="42" t="s">
        <v>4</v>
      </c>
      <c r="K14" s="42" t="s">
        <v>4</v>
      </c>
      <c r="L14" s="42"/>
      <c r="M14" s="42" t="s">
        <v>4</v>
      </c>
      <c r="N14" s="42" t="s">
        <v>4</v>
      </c>
      <c r="O14" s="42" t="s">
        <v>4</v>
      </c>
      <c r="P14" s="42" t="s">
        <v>4</v>
      </c>
      <c r="Q14" s="42"/>
      <c r="R14" s="42" t="s">
        <v>4</v>
      </c>
      <c r="S14" s="42" t="s">
        <v>4</v>
      </c>
      <c r="T14" s="42" t="s">
        <v>4</v>
      </c>
      <c r="U14" s="42" t="s">
        <v>4</v>
      </c>
      <c r="V14" s="42"/>
      <c r="W14" s="42" t="s">
        <v>4</v>
      </c>
      <c r="X14" s="42" t="s">
        <v>4</v>
      </c>
      <c r="Y14" s="42" t="s">
        <v>4</v>
      </c>
      <c r="Z14" s="42" t="s">
        <v>4</v>
      </c>
      <c r="AA14" s="42"/>
    </row>
    <row r="15" ht="15.0" customHeight="1">
      <c r="A15" s="67" t="s">
        <v>128</v>
      </c>
      <c r="B15" s="67" t="s">
        <v>129</v>
      </c>
      <c r="C15" s="68">
        <v>388724.0</v>
      </c>
      <c r="D15" s="42" t="s">
        <v>78</v>
      </c>
      <c r="E15" s="42" t="s">
        <v>4</v>
      </c>
      <c r="F15" s="42" t="s">
        <v>4</v>
      </c>
      <c r="G15" s="42"/>
      <c r="H15" s="42" t="s">
        <v>4</v>
      </c>
      <c r="I15" s="42" t="s">
        <v>4</v>
      </c>
      <c r="J15" s="42" t="s">
        <v>4</v>
      </c>
      <c r="K15" s="42" t="s">
        <v>4</v>
      </c>
      <c r="L15" s="42"/>
      <c r="M15" s="42" t="s">
        <v>4</v>
      </c>
      <c r="N15" s="42" t="s">
        <v>4</v>
      </c>
      <c r="O15" s="42" t="s">
        <v>4</v>
      </c>
      <c r="P15" s="42" t="s">
        <v>4</v>
      </c>
      <c r="Q15" s="42"/>
      <c r="R15" s="42" t="s">
        <v>4</v>
      </c>
      <c r="S15" s="42" t="s">
        <v>4</v>
      </c>
      <c r="T15" s="42" t="s">
        <v>4</v>
      </c>
      <c r="U15" s="42" t="s">
        <v>4</v>
      </c>
      <c r="V15" s="42"/>
      <c r="W15" s="42" t="s">
        <v>4</v>
      </c>
      <c r="X15" s="42" t="s">
        <v>4</v>
      </c>
      <c r="Y15" s="42" t="s">
        <v>4</v>
      </c>
      <c r="Z15" s="42" t="s">
        <v>4</v>
      </c>
      <c r="AA15" s="42"/>
    </row>
    <row r="16" ht="15.0" customHeight="1">
      <c r="A16" s="67" t="s">
        <v>130</v>
      </c>
      <c r="B16" s="67" t="s">
        <v>131</v>
      </c>
      <c r="C16" s="68">
        <v>397231.0</v>
      </c>
      <c r="D16" s="42" t="s">
        <v>78</v>
      </c>
      <c r="E16" s="42" t="s">
        <v>4</v>
      </c>
      <c r="F16" s="42" t="s">
        <v>4</v>
      </c>
      <c r="G16" s="42"/>
      <c r="H16" s="42" t="s">
        <v>4</v>
      </c>
      <c r="I16" s="42" t="s">
        <v>4</v>
      </c>
      <c r="J16" s="42" t="s">
        <v>4</v>
      </c>
      <c r="K16" s="42" t="s">
        <v>4</v>
      </c>
      <c r="L16" s="42"/>
      <c r="M16" s="42" t="s">
        <v>4</v>
      </c>
      <c r="N16" s="42" t="s">
        <v>4</v>
      </c>
      <c r="O16" s="42" t="s">
        <v>4</v>
      </c>
      <c r="P16" s="42" t="s">
        <v>4</v>
      </c>
      <c r="Q16" s="42"/>
      <c r="R16" s="42" t="s">
        <v>4</v>
      </c>
      <c r="S16" s="42" t="s">
        <v>4</v>
      </c>
      <c r="T16" s="42" t="s">
        <v>4</v>
      </c>
      <c r="U16" s="42" t="s">
        <v>4</v>
      </c>
      <c r="V16" s="42"/>
      <c r="W16" s="42" t="s">
        <v>4</v>
      </c>
      <c r="X16" s="42" t="s">
        <v>4</v>
      </c>
      <c r="Y16" s="42" t="s">
        <v>4</v>
      </c>
      <c r="Z16" s="42" t="s">
        <v>4</v>
      </c>
      <c r="AA16" s="42"/>
    </row>
    <row r="17" ht="15.0" customHeight="1">
      <c r="A17" s="67" t="s">
        <v>132</v>
      </c>
      <c r="B17" s="67" t="s">
        <v>133</v>
      </c>
      <c r="C17" s="68">
        <v>332229.0</v>
      </c>
      <c r="D17" s="42" t="s">
        <v>78</v>
      </c>
      <c r="E17" s="42" t="s">
        <v>4</v>
      </c>
      <c r="F17" s="42" t="s">
        <v>4</v>
      </c>
      <c r="G17" s="42"/>
      <c r="H17" s="42" t="s">
        <v>4</v>
      </c>
      <c r="I17" s="42" t="s">
        <v>4</v>
      </c>
      <c r="J17" s="42" t="s">
        <v>4</v>
      </c>
      <c r="K17" s="42" t="s">
        <v>4</v>
      </c>
      <c r="L17" s="42"/>
      <c r="M17" s="42" t="s">
        <v>4</v>
      </c>
      <c r="N17" s="42" t="s">
        <v>4</v>
      </c>
      <c r="O17" s="42" t="s">
        <v>4</v>
      </c>
      <c r="P17" s="42" t="s">
        <v>4</v>
      </c>
      <c r="Q17" s="42"/>
      <c r="R17" s="42" t="s">
        <v>4</v>
      </c>
      <c r="S17" s="42" t="s">
        <v>4</v>
      </c>
      <c r="T17" s="42" t="s">
        <v>4</v>
      </c>
      <c r="U17" s="42" t="s">
        <v>4</v>
      </c>
      <c r="V17" s="42"/>
      <c r="W17" s="42" t="s">
        <v>4</v>
      </c>
      <c r="X17" s="42" t="s">
        <v>4</v>
      </c>
      <c r="Y17" s="42" t="s">
        <v>4</v>
      </c>
      <c r="Z17" s="42" t="s">
        <v>6</v>
      </c>
      <c r="AA17" s="42"/>
    </row>
    <row r="18" ht="15.0" customHeight="1">
      <c r="A18" s="67" t="s">
        <v>134</v>
      </c>
      <c r="B18" s="67" t="s">
        <v>135</v>
      </c>
      <c r="C18" s="68">
        <v>390285.0</v>
      </c>
      <c r="D18" s="42" t="s">
        <v>78</v>
      </c>
      <c r="E18" s="42" t="s">
        <v>4</v>
      </c>
      <c r="F18" s="42" t="s">
        <v>4</v>
      </c>
      <c r="G18" s="42"/>
      <c r="H18" s="42" t="s">
        <v>4</v>
      </c>
      <c r="I18" s="42" t="s">
        <v>4</v>
      </c>
      <c r="J18" s="42" t="s">
        <v>4</v>
      </c>
      <c r="K18" s="42" t="s">
        <v>4</v>
      </c>
      <c r="L18" s="42"/>
      <c r="M18" s="42" t="s">
        <v>4</v>
      </c>
      <c r="N18" s="42" t="s">
        <v>4</v>
      </c>
      <c r="O18" s="42" t="s">
        <v>4</v>
      </c>
      <c r="P18" s="42" t="s">
        <v>4</v>
      </c>
      <c r="Q18" s="42"/>
      <c r="R18" s="42" t="s">
        <v>4</v>
      </c>
      <c r="S18" s="42" t="s">
        <v>4</v>
      </c>
      <c r="T18" s="42" t="s">
        <v>4</v>
      </c>
      <c r="U18" s="42" t="s">
        <v>4</v>
      </c>
      <c r="V18" s="42"/>
      <c r="W18" s="42" t="s">
        <v>4</v>
      </c>
      <c r="X18" s="42" t="s">
        <v>4</v>
      </c>
      <c r="Y18" s="42" t="s">
        <v>4</v>
      </c>
      <c r="Z18" s="42" t="s">
        <v>4</v>
      </c>
      <c r="AA18" s="42"/>
    </row>
    <row r="19" ht="15.0" customHeight="1">
      <c r="A19" s="67" t="s">
        <v>136</v>
      </c>
      <c r="B19" s="67" t="s">
        <v>137</v>
      </c>
      <c r="C19" s="68">
        <v>396863.0</v>
      </c>
      <c r="D19" s="42" t="s">
        <v>78</v>
      </c>
      <c r="E19" s="42" t="s">
        <v>4</v>
      </c>
      <c r="F19" s="42" t="s">
        <v>4</v>
      </c>
      <c r="G19" s="42"/>
      <c r="H19" s="42" t="s">
        <v>4</v>
      </c>
      <c r="I19" s="42" t="s">
        <v>4</v>
      </c>
      <c r="J19" s="42" t="s">
        <v>4</v>
      </c>
      <c r="K19" s="42" t="s">
        <v>4</v>
      </c>
      <c r="L19" s="42"/>
      <c r="M19" s="42" t="s">
        <v>4</v>
      </c>
      <c r="N19" s="42" t="s">
        <v>4</v>
      </c>
      <c r="O19" s="42" t="s">
        <v>4</v>
      </c>
      <c r="P19" s="42" t="s">
        <v>4</v>
      </c>
      <c r="Q19" s="42"/>
      <c r="R19" s="42" t="s">
        <v>4</v>
      </c>
      <c r="S19" s="42" t="s">
        <v>6</v>
      </c>
      <c r="T19" s="42" t="s">
        <v>4</v>
      </c>
      <c r="U19" s="42" t="s">
        <v>4</v>
      </c>
      <c r="V19" s="42"/>
      <c r="W19" s="42" t="s">
        <v>4</v>
      </c>
      <c r="X19" s="42" t="s">
        <v>4</v>
      </c>
      <c r="Y19" s="42" t="s">
        <v>4</v>
      </c>
      <c r="Z19" s="42" t="s">
        <v>4</v>
      </c>
      <c r="AA19" s="42"/>
    </row>
    <row r="20" ht="15.0" customHeight="1">
      <c r="A20" s="67" t="s">
        <v>138</v>
      </c>
      <c r="B20" s="67" t="s">
        <v>139</v>
      </c>
      <c r="C20" s="68">
        <v>300227.0</v>
      </c>
      <c r="D20" s="42" t="s">
        <v>78</v>
      </c>
      <c r="E20" s="42" t="s">
        <v>4</v>
      </c>
      <c r="F20" s="42" t="s">
        <v>4</v>
      </c>
      <c r="G20" s="42"/>
      <c r="H20" s="42" t="s">
        <v>4</v>
      </c>
      <c r="I20" s="42" t="s">
        <v>4</v>
      </c>
      <c r="J20" s="42" t="s">
        <v>4</v>
      </c>
      <c r="K20" s="42" t="s">
        <v>4</v>
      </c>
      <c r="L20" s="42"/>
      <c r="M20" s="42" t="s">
        <v>4</v>
      </c>
      <c r="N20" s="42" t="s">
        <v>4</v>
      </c>
      <c r="O20" s="42" t="s">
        <v>4</v>
      </c>
      <c r="P20" s="42" t="s">
        <v>4</v>
      </c>
      <c r="Q20" s="42"/>
      <c r="R20" s="42" t="s">
        <v>4</v>
      </c>
      <c r="S20" s="42" t="s">
        <v>4</v>
      </c>
      <c r="T20" s="42" t="s">
        <v>4</v>
      </c>
      <c r="U20" s="42" t="s">
        <v>4</v>
      </c>
      <c r="V20" s="42"/>
      <c r="W20" s="42" t="s">
        <v>4</v>
      </c>
      <c r="X20" s="42" t="s">
        <v>4</v>
      </c>
      <c r="Y20" s="42" t="s">
        <v>4</v>
      </c>
      <c r="Z20" s="42" t="s">
        <v>4</v>
      </c>
      <c r="AA20" s="42"/>
    </row>
    <row r="21" ht="15.0" customHeight="1">
      <c r="A21" s="67" t="s">
        <v>140</v>
      </c>
      <c r="B21" s="67" t="s">
        <v>141</v>
      </c>
      <c r="C21" s="68">
        <v>397617.0</v>
      </c>
      <c r="D21" s="42" t="s">
        <v>78</v>
      </c>
      <c r="E21" s="42" t="s">
        <v>4</v>
      </c>
      <c r="F21" s="42" t="s">
        <v>4</v>
      </c>
      <c r="G21" s="42"/>
      <c r="H21" s="42" t="s">
        <v>4</v>
      </c>
      <c r="I21" s="42" t="s">
        <v>4</v>
      </c>
      <c r="J21" s="42" t="s">
        <v>4</v>
      </c>
      <c r="K21" s="42" t="s">
        <v>4</v>
      </c>
      <c r="L21" s="42"/>
      <c r="M21" s="42" t="s">
        <v>4</v>
      </c>
      <c r="N21" s="42" t="s">
        <v>4</v>
      </c>
      <c r="O21" s="42" t="s">
        <v>4</v>
      </c>
      <c r="P21" s="42" t="s">
        <v>4</v>
      </c>
      <c r="Q21" s="42"/>
      <c r="R21" s="42" t="s">
        <v>4</v>
      </c>
      <c r="S21" s="42" t="s">
        <v>4</v>
      </c>
      <c r="T21" s="42" t="s">
        <v>4</v>
      </c>
      <c r="U21" s="42" t="s">
        <v>4</v>
      </c>
      <c r="V21" s="42"/>
      <c r="W21" s="42" t="s">
        <v>4</v>
      </c>
      <c r="X21" s="42" t="s">
        <v>4</v>
      </c>
      <c r="Y21" s="42" t="s">
        <v>6</v>
      </c>
      <c r="Z21" s="42" t="s">
        <v>4</v>
      </c>
      <c r="AA21" s="42"/>
    </row>
    <row r="22" ht="15.0" customHeight="1">
      <c r="A22" s="67" t="s">
        <v>142</v>
      </c>
      <c r="B22" s="67" t="s">
        <v>143</v>
      </c>
      <c r="C22" s="68">
        <v>347294.0</v>
      </c>
      <c r="D22" s="42" t="s">
        <v>78</v>
      </c>
      <c r="E22" s="42" t="s">
        <v>4</v>
      </c>
      <c r="F22" s="42" t="s">
        <v>4</v>
      </c>
      <c r="G22" s="42"/>
      <c r="H22" s="42" t="s">
        <v>4</v>
      </c>
      <c r="I22" s="42" t="s">
        <v>4</v>
      </c>
      <c r="J22" s="42" t="s">
        <v>4</v>
      </c>
      <c r="K22" s="42" t="s">
        <v>4</v>
      </c>
      <c r="L22" s="42"/>
      <c r="M22" s="42" t="s">
        <v>4</v>
      </c>
      <c r="N22" s="42" t="s">
        <v>4</v>
      </c>
      <c r="O22" s="42" t="s">
        <v>4</v>
      </c>
      <c r="P22" s="42" t="s">
        <v>4</v>
      </c>
      <c r="Q22" s="42"/>
      <c r="R22" s="42" t="s">
        <v>4</v>
      </c>
      <c r="S22" s="42" t="s">
        <v>4</v>
      </c>
      <c r="T22" s="42" t="s">
        <v>4</v>
      </c>
      <c r="U22" s="42" t="s">
        <v>4</v>
      </c>
      <c r="V22" s="42"/>
      <c r="W22" s="42" t="s">
        <v>4</v>
      </c>
      <c r="X22" s="42" t="s">
        <v>4</v>
      </c>
      <c r="Y22" s="42" t="s">
        <v>4</v>
      </c>
      <c r="Z22" s="42" t="s">
        <v>4</v>
      </c>
      <c r="AA22" s="42"/>
    </row>
    <row r="23" ht="15.0" customHeight="1">
      <c r="A23" s="67" t="s">
        <v>144</v>
      </c>
      <c r="B23" s="67" t="s">
        <v>145</v>
      </c>
      <c r="C23" s="68">
        <v>371295.0</v>
      </c>
      <c r="D23" s="42" t="s">
        <v>78</v>
      </c>
      <c r="E23" s="42" t="s">
        <v>4</v>
      </c>
      <c r="F23" s="42" t="s">
        <v>4</v>
      </c>
      <c r="G23" s="42"/>
      <c r="H23" s="42" t="s">
        <v>4</v>
      </c>
      <c r="I23" s="42" t="s">
        <v>4</v>
      </c>
      <c r="J23" s="42" t="s">
        <v>4</v>
      </c>
      <c r="K23" s="42" t="s">
        <v>4</v>
      </c>
      <c r="L23" s="42"/>
      <c r="M23" s="42" t="s">
        <v>4</v>
      </c>
      <c r="N23" s="42" t="s">
        <v>4</v>
      </c>
      <c r="O23" s="42" t="s">
        <v>4</v>
      </c>
      <c r="P23" s="42" t="s">
        <v>4</v>
      </c>
      <c r="Q23" s="42"/>
      <c r="R23" s="42" t="s">
        <v>4</v>
      </c>
      <c r="S23" s="42" t="s">
        <v>4</v>
      </c>
      <c r="T23" s="42" t="s">
        <v>4</v>
      </c>
      <c r="U23" s="42" t="s">
        <v>4</v>
      </c>
      <c r="V23" s="42"/>
      <c r="W23" s="42" t="s">
        <v>4</v>
      </c>
      <c r="X23" s="42" t="s">
        <v>4</v>
      </c>
      <c r="Y23" s="42" t="s">
        <v>4</v>
      </c>
      <c r="Z23" s="42" t="s">
        <v>4</v>
      </c>
      <c r="AA23" s="42"/>
    </row>
    <row r="24" ht="15.0" customHeight="1">
      <c r="A24" s="67" t="s">
        <v>146</v>
      </c>
      <c r="B24" s="67" t="s">
        <v>147</v>
      </c>
      <c r="C24" s="68">
        <v>397159.0</v>
      </c>
      <c r="D24" s="42" t="s">
        <v>78</v>
      </c>
      <c r="E24" s="42" t="s">
        <v>4</v>
      </c>
      <c r="F24" s="42" t="s">
        <v>4</v>
      </c>
      <c r="G24" s="42"/>
      <c r="H24" s="42" t="s">
        <v>4</v>
      </c>
      <c r="I24" s="42" t="s">
        <v>4</v>
      </c>
      <c r="J24" s="42" t="s">
        <v>4</v>
      </c>
      <c r="K24" s="42" t="s">
        <v>4</v>
      </c>
      <c r="L24" s="42"/>
      <c r="M24" s="42" t="s">
        <v>4</v>
      </c>
      <c r="N24" s="42" t="s">
        <v>4</v>
      </c>
      <c r="O24" s="42" t="s">
        <v>4</v>
      </c>
      <c r="P24" s="42" t="s">
        <v>6</v>
      </c>
      <c r="Q24" s="42"/>
      <c r="R24" s="42" t="s">
        <v>4</v>
      </c>
      <c r="S24" s="42" t="s">
        <v>4</v>
      </c>
      <c r="T24" s="42" t="s">
        <v>4</v>
      </c>
      <c r="U24" s="42" t="s">
        <v>4</v>
      </c>
      <c r="V24" s="42"/>
      <c r="W24" s="42" t="s">
        <v>4</v>
      </c>
      <c r="X24" s="42" t="s">
        <v>4</v>
      </c>
      <c r="Y24" s="42" t="s">
        <v>4</v>
      </c>
      <c r="Z24" s="42" t="s">
        <v>4</v>
      </c>
      <c r="AA24" s="42"/>
    </row>
    <row r="25" ht="15.0" customHeight="1">
      <c r="A25" s="67" t="s">
        <v>148</v>
      </c>
      <c r="B25" s="67" t="s">
        <v>149</v>
      </c>
      <c r="C25" s="68">
        <v>397521.0</v>
      </c>
      <c r="D25" s="42" t="s">
        <v>78</v>
      </c>
      <c r="E25" s="42" t="s">
        <v>4</v>
      </c>
      <c r="F25" s="42" t="s">
        <v>4</v>
      </c>
      <c r="G25" s="42"/>
      <c r="H25" s="42" t="s">
        <v>4</v>
      </c>
      <c r="I25" s="42" t="s">
        <v>4</v>
      </c>
      <c r="J25" s="42" t="s">
        <v>4</v>
      </c>
      <c r="K25" s="42" t="s">
        <v>4</v>
      </c>
      <c r="L25" s="42"/>
      <c r="M25" s="42" t="s">
        <v>4</v>
      </c>
      <c r="N25" s="42" t="s">
        <v>4</v>
      </c>
      <c r="O25" s="42" t="s">
        <v>4</v>
      </c>
      <c r="P25" s="42" t="s">
        <v>4</v>
      </c>
      <c r="Q25" s="42"/>
      <c r="R25" s="42" t="s">
        <v>4</v>
      </c>
      <c r="S25" s="42" t="s">
        <v>4</v>
      </c>
      <c r="T25" s="42" t="s">
        <v>4</v>
      </c>
      <c r="U25" s="42" t="s">
        <v>4</v>
      </c>
      <c r="V25" s="42"/>
      <c r="W25" s="42" t="s">
        <v>4</v>
      </c>
      <c r="X25" s="42" t="s">
        <v>4</v>
      </c>
      <c r="Y25" s="42" t="s">
        <v>4</v>
      </c>
      <c r="Z25" s="42" t="s">
        <v>4</v>
      </c>
      <c r="AA25" s="42"/>
    </row>
    <row r="26" ht="15.0" customHeight="1">
      <c r="A26" s="67" t="s">
        <v>150</v>
      </c>
      <c r="B26" s="67" t="s">
        <v>151</v>
      </c>
      <c r="C26" s="68">
        <v>395368.0</v>
      </c>
      <c r="D26" s="42" t="s">
        <v>78</v>
      </c>
      <c r="E26" s="42" t="s">
        <v>4</v>
      </c>
      <c r="F26" s="42" t="s">
        <v>4</v>
      </c>
      <c r="G26" s="42"/>
      <c r="H26" s="42" t="s">
        <v>4</v>
      </c>
      <c r="I26" s="42" t="s">
        <v>4</v>
      </c>
      <c r="J26" s="42" t="s">
        <v>4</v>
      </c>
      <c r="K26" s="42" t="s">
        <v>4</v>
      </c>
      <c r="L26" s="42"/>
      <c r="M26" s="42" t="s">
        <v>4</v>
      </c>
      <c r="N26" s="42" t="s">
        <v>4</v>
      </c>
      <c r="O26" s="42" t="s">
        <v>4</v>
      </c>
      <c r="P26" s="42" t="s">
        <v>4</v>
      </c>
      <c r="Q26" s="42"/>
      <c r="R26" s="42" t="s">
        <v>4</v>
      </c>
      <c r="S26" s="42" t="s">
        <v>4</v>
      </c>
      <c r="T26" s="42" t="s">
        <v>4</v>
      </c>
      <c r="U26" s="42" t="s">
        <v>4</v>
      </c>
      <c r="V26" s="42"/>
      <c r="W26" s="42" t="s">
        <v>4</v>
      </c>
      <c r="X26" s="42" t="s">
        <v>4</v>
      </c>
      <c r="Y26" s="42" t="s">
        <v>4</v>
      </c>
      <c r="Z26" s="42" t="s">
        <v>4</v>
      </c>
      <c r="AA26" s="42"/>
    </row>
    <row r="27" ht="15.0" customHeight="1">
      <c r="A27" s="67" t="s">
        <v>152</v>
      </c>
      <c r="B27" s="67" t="s">
        <v>153</v>
      </c>
      <c r="C27" s="68">
        <v>371776.0</v>
      </c>
      <c r="D27" s="42" t="s">
        <v>78</v>
      </c>
      <c r="E27" s="42" t="s">
        <v>4</v>
      </c>
      <c r="F27" s="42" t="s">
        <v>4</v>
      </c>
      <c r="G27" s="42"/>
      <c r="H27" s="42" t="s">
        <v>4</v>
      </c>
      <c r="I27" s="42" t="s">
        <v>4</v>
      </c>
      <c r="J27" s="42" t="s">
        <v>4</v>
      </c>
      <c r="K27" s="42" t="s">
        <v>4</v>
      </c>
      <c r="L27" s="42"/>
      <c r="M27" s="42" t="s">
        <v>4</v>
      </c>
      <c r="N27" s="42" t="s">
        <v>4</v>
      </c>
      <c r="O27" s="42" t="s">
        <v>4</v>
      </c>
      <c r="P27" s="42" t="s">
        <v>4</v>
      </c>
      <c r="Q27" s="42"/>
      <c r="R27" s="42" t="s">
        <v>4</v>
      </c>
      <c r="S27" s="42" t="s">
        <v>4</v>
      </c>
      <c r="T27" s="42" t="s">
        <v>4</v>
      </c>
      <c r="U27" s="42" t="s">
        <v>4</v>
      </c>
      <c r="V27" s="42"/>
      <c r="W27" s="42" t="s">
        <v>4</v>
      </c>
      <c r="X27" s="42" t="s">
        <v>4</v>
      </c>
      <c r="Y27" s="42" t="s">
        <v>4</v>
      </c>
      <c r="Z27" s="42" t="s">
        <v>4</v>
      </c>
      <c r="AA27" s="42"/>
    </row>
    <row r="28" ht="15.0" customHeight="1">
      <c r="A28" s="67" t="s">
        <v>126</v>
      </c>
      <c r="B28" s="67" t="s">
        <v>154</v>
      </c>
      <c r="C28" s="68">
        <v>351694.0</v>
      </c>
      <c r="D28" s="42" t="s">
        <v>78</v>
      </c>
      <c r="E28" s="42" t="s">
        <v>4</v>
      </c>
      <c r="F28" s="42" t="s">
        <v>4</v>
      </c>
      <c r="G28" s="42"/>
      <c r="H28" s="42" t="s">
        <v>4</v>
      </c>
      <c r="I28" s="42" t="s">
        <v>4</v>
      </c>
      <c r="J28" s="42" t="s">
        <v>4</v>
      </c>
      <c r="K28" s="42" t="s">
        <v>4</v>
      </c>
      <c r="L28" s="42"/>
      <c r="M28" s="42" t="s">
        <v>4</v>
      </c>
      <c r="N28" s="42" t="s">
        <v>4</v>
      </c>
      <c r="O28" s="42" t="s">
        <v>4</v>
      </c>
      <c r="P28" s="42" t="s">
        <v>4</v>
      </c>
      <c r="Q28" s="42"/>
      <c r="R28" s="42" t="s">
        <v>4</v>
      </c>
      <c r="S28" s="42" t="s">
        <v>4</v>
      </c>
      <c r="T28" s="42" t="s">
        <v>4</v>
      </c>
      <c r="U28" s="42" t="s">
        <v>4</v>
      </c>
      <c r="V28" s="42"/>
      <c r="W28" s="42" t="s">
        <v>4</v>
      </c>
      <c r="X28" s="42" t="s">
        <v>4</v>
      </c>
      <c r="Y28" s="42" t="s">
        <v>4</v>
      </c>
      <c r="Z28" s="42" t="s">
        <v>4</v>
      </c>
      <c r="AA28" s="42"/>
    </row>
    <row r="29" ht="15.0" customHeight="1">
      <c r="A29" s="67" t="s">
        <v>155</v>
      </c>
      <c r="B29" s="67" t="s">
        <v>156</v>
      </c>
      <c r="C29" s="68">
        <v>383828.0</v>
      </c>
      <c r="D29" s="42" t="s">
        <v>78</v>
      </c>
      <c r="E29" s="42" t="s">
        <v>4</v>
      </c>
      <c r="F29" s="42" t="s">
        <v>4</v>
      </c>
      <c r="G29" s="42"/>
      <c r="H29" s="42" t="s">
        <v>4</v>
      </c>
      <c r="I29" s="42" t="s">
        <v>4</v>
      </c>
      <c r="J29" s="42" t="s">
        <v>4</v>
      </c>
      <c r="K29" s="42" t="s">
        <v>4</v>
      </c>
      <c r="L29" s="42"/>
      <c r="M29" s="42" t="s">
        <v>4</v>
      </c>
      <c r="N29" s="42" t="s">
        <v>4</v>
      </c>
      <c r="O29" s="42" t="s">
        <v>4</v>
      </c>
      <c r="P29" s="42" t="s">
        <v>4</v>
      </c>
      <c r="Q29" s="42"/>
      <c r="R29" s="42" t="s">
        <v>4</v>
      </c>
      <c r="S29" s="42" t="s">
        <v>4</v>
      </c>
      <c r="T29" s="42" t="s">
        <v>4</v>
      </c>
      <c r="U29" s="42" t="s">
        <v>4</v>
      </c>
      <c r="V29" s="42"/>
      <c r="W29" s="42" t="s">
        <v>4</v>
      </c>
      <c r="X29" s="42" t="s">
        <v>4</v>
      </c>
      <c r="Y29" s="42" t="s">
        <v>4</v>
      </c>
      <c r="Z29" s="42" t="s">
        <v>4</v>
      </c>
      <c r="AA29" s="42"/>
    </row>
    <row r="30" ht="15.0" customHeight="1">
      <c r="A30" s="67" t="s">
        <v>157</v>
      </c>
      <c r="B30" s="67" t="s">
        <v>158</v>
      </c>
      <c r="C30" s="68">
        <v>380685.0</v>
      </c>
      <c r="D30" s="42" t="s">
        <v>78</v>
      </c>
      <c r="E30" s="42" t="s">
        <v>4</v>
      </c>
      <c r="F30" s="42" t="s">
        <v>4</v>
      </c>
      <c r="G30" s="42"/>
      <c r="H30" s="42" t="s">
        <v>4</v>
      </c>
      <c r="I30" s="42" t="s">
        <v>4</v>
      </c>
      <c r="J30" s="42" t="s">
        <v>4</v>
      </c>
      <c r="K30" s="42" t="s">
        <v>4</v>
      </c>
      <c r="L30" s="42"/>
      <c r="M30" s="42" t="s">
        <v>4</v>
      </c>
      <c r="N30" s="42" t="s">
        <v>4</v>
      </c>
      <c r="O30" s="42" t="s">
        <v>4</v>
      </c>
      <c r="P30" s="42" t="s">
        <v>4</v>
      </c>
      <c r="Q30" s="42"/>
      <c r="R30" s="42" t="s">
        <v>4</v>
      </c>
      <c r="S30" s="42" t="s">
        <v>4</v>
      </c>
      <c r="T30" s="42" t="s">
        <v>4</v>
      </c>
      <c r="U30" s="42" t="s">
        <v>4</v>
      </c>
      <c r="V30" s="42"/>
      <c r="W30" s="42" t="s">
        <v>4</v>
      </c>
      <c r="X30" s="42" t="s">
        <v>4</v>
      </c>
      <c r="Y30" s="42" t="s">
        <v>4</v>
      </c>
      <c r="Z30" s="42" t="s">
        <v>4</v>
      </c>
      <c r="AA30" s="42"/>
    </row>
    <row r="31" ht="15.0" customHeight="1">
      <c r="A31" s="67" t="s">
        <v>159</v>
      </c>
      <c r="B31" s="67" t="s">
        <v>160</v>
      </c>
      <c r="C31" s="68">
        <v>390977.0</v>
      </c>
      <c r="D31" s="42" t="s">
        <v>78</v>
      </c>
      <c r="E31" s="42" t="s">
        <v>4</v>
      </c>
      <c r="F31" s="42" t="s">
        <v>4</v>
      </c>
      <c r="G31" s="42"/>
      <c r="H31" s="42" t="s">
        <v>4</v>
      </c>
      <c r="I31" s="42" t="s">
        <v>4</v>
      </c>
      <c r="J31" s="42" t="s">
        <v>4</v>
      </c>
      <c r="K31" s="42" t="s">
        <v>4</v>
      </c>
      <c r="L31" s="42"/>
      <c r="M31" s="42" t="s">
        <v>4</v>
      </c>
      <c r="N31" s="42" t="s">
        <v>4</v>
      </c>
      <c r="O31" s="42" t="s">
        <v>4</v>
      </c>
      <c r="P31" s="42" t="s">
        <v>4</v>
      </c>
      <c r="Q31" s="42"/>
      <c r="R31" s="42" t="s">
        <v>4</v>
      </c>
      <c r="S31" s="42" t="s">
        <v>4</v>
      </c>
      <c r="T31" s="42" t="s">
        <v>4</v>
      </c>
      <c r="U31" s="42" t="s">
        <v>4</v>
      </c>
      <c r="V31" s="42"/>
      <c r="W31" s="42" t="s">
        <v>4</v>
      </c>
      <c r="X31" s="42" t="s">
        <v>4</v>
      </c>
      <c r="Y31" s="42" t="s">
        <v>4</v>
      </c>
      <c r="Z31" s="42" t="s">
        <v>4</v>
      </c>
      <c r="AA31" s="42"/>
    </row>
    <row r="32" ht="15.0" customHeight="1">
      <c r="A32" s="57" t="s">
        <v>99</v>
      </c>
      <c r="B32" s="57" t="s">
        <v>100</v>
      </c>
      <c r="C32" s="58">
        <v>353303.0</v>
      </c>
      <c r="D32" s="42" t="s">
        <v>68</v>
      </c>
      <c r="E32" s="42" t="s">
        <v>4</v>
      </c>
      <c r="F32" s="42" t="s">
        <v>4</v>
      </c>
      <c r="G32" s="42"/>
      <c r="H32" s="42" t="s">
        <v>4</v>
      </c>
      <c r="I32" s="42" t="s">
        <v>4</v>
      </c>
      <c r="J32" s="42" t="s">
        <v>4</v>
      </c>
      <c r="K32" s="42" t="s">
        <v>4</v>
      </c>
      <c r="L32" s="42"/>
      <c r="M32" s="42" t="s">
        <v>4</v>
      </c>
      <c r="N32" s="42" t="s">
        <v>4</v>
      </c>
      <c r="O32" s="42" t="s">
        <v>4</v>
      </c>
      <c r="P32" s="42" t="s">
        <v>4</v>
      </c>
      <c r="Q32" s="42"/>
      <c r="R32" s="42" t="s">
        <v>4</v>
      </c>
      <c r="S32" s="42" t="s">
        <v>4</v>
      </c>
      <c r="T32" s="42" t="s">
        <v>4</v>
      </c>
      <c r="U32" s="42" t="s">
        <v>4</v>
      </c>
      <c r="V32" s="42"/>
      <c r="W32" s="42" t="s">
        <v>4</v>
      </c>
      <c r="X32" s="42" t="s">
        <v>4</v>
      </c>
      <c r="Y32" s="42" t="s">
        <v>4</v>
      </c>
      <c r="Z32" s="42" t="s">
        <v>4</v>
      </c>
      <c r="AA32" s="42"/>
    </row>
    <row r="33" ht="15.0" customHeight="1">
      <c r="A33" s="60" t="s">
        <v>115</v>
      </c>
      <c r="B33" s="60" t="s">
        <v>116</v>
      </c>
      <c r="C33" s="58">
        <v>254387.0</v>
      </c>
      <c r="D33" s="42" t="s">
        <v>68</v>
      </c>
      <c r="E33" s="42" t="s">
        <v>4</v>
      </c>
      <c r="F33" s="42" t="s">
        <v>4</v>
      </c>
      <c r="G33" s="42"/>
      <c r="H33" s="42" t="s">
        <v>4</v>
      </c>
      <c r="I33" s="42" t="s">
        <v>4</v>
      </c>
      <c r="J33" s="42" t="s">
        <v>4</v>
      </c>
      <c r="K33" s="42" t="s">
        <v>4</v>
      </c>
      <c r="L33" s="42"/>
      <c r="M33" s="42" t="s">
        <v>4</v>
      </c>
      <c r="N33" s="42" t="s">
        <v>4</v>
      </c>
      <c r="O33" s="42" t="s">
        <v>4</v>
      </c>
      <c r="P33" s="42" t="s">
        <v>4</v>
      </c>
      <c r="Q33" s="42"/>
      <c r="R33" s="42" t="s">
        <v>4</v>
      </c>
      <c r="S33" s="42" t="s">
        <v>4</v>
      </c>
      <c r="T33" s="42" t="s">
        <v>4</v>
      </c>
      <c r="U33" s="42" t="s">
        <v>4</v>
      </c>
      <c r="V33" s="42"/>
      <c r="W33" s="42" t="s">
        <v>4</v>
      </c>
      <c r="X33" s="42" t="s">
        <v>4</v>
      </c>
      <c r="Y33" s="42" t="s">
        <v>4</v>
      </c>
      <c r="Z33" s="42" t="s">
        <v>4</v>
      </c>
      <c r="AA33" s="42"/>
    </row>
    <row r="34" ht="30.0" customHeight="1">
      <c r="A34" s="46"/>
      <c r="B34" s="46"/>
      <c r="C34" s="47"/>
      <c r="D34" s="48" t="s">
        <v>94</v>
      </c>
      <c r="E34" s="49">
        <f t="shared" ref="E34:F34" si="2">IF((COUNTIF(E8:E33,"*P*") + COUNTIF(E8:E33, "*L*")) &gt;= 0, COUNTIF(E8:E33,"*P*") + COUNTIF(E8:E33, "*L*"), "")</f>
        <v>24</v>
      </c>
      <c r="F34" s="49">
        <f t="shared" si="2"/>
        <v>24</v>
      </c>
      <c r="G34" s="49">
        <f>IF((COUNTIF(G8:G28,"*P*") + COUNTIF(G8:G28, "*L*")) &gt;= 0, COUNTIF(G8:G28,"*P*") + COUNTIF(G8:G28, "*L*"), "")</f>
        <v>0</v>
      </c>
      <c r="H34" s="49">
        <f>IF((COUNTIF(H8:H33,"*P*") + COUNTIF(H8:H33, "*L*")) &gt;= 0, COUNTIF(H8:H33,"*P*") + COUNTIF(H8:H33, "*L*"), "")</f>
        <v>24</v>
      </c>
      <c r="I34" s="49">
        <f>IF((COUNTIF(E8:E33,"*P*") + COUNTIF(E8:E33, "*L*")) &gt;= 0, COUNTIF(E8:E33,"*P*") + COUNTIF(E8:E33, "*L*"), "")</f>
        <v>24</v>
      </c>
      <c r="J34" s="49">
        <f t="shared" ref="J34:L34" si="3">IF((COUNTIF(J8:J28,"*P*") + COUNTIF(J8:J28, "*L*")) &gt;= 0, COUNTIF(J8:J28,"*P*") + COUNTIF(J8:J28, "*L*"), "")</f>
        <v>19</v>
      </c>
      <c r="K34" s="49">
        <f t="shared" si="3"/>
        <v>19</v>
      </c>
      <c r="L34" s="49">
        <f t="shared" si="3"/>
        <v>0</v>
      </c>
      <c r="M34" s="75">
        <v>24.0</v>
      </c>
      <c r="N34" s="49">
        <f t="shared" ref="N34:R34" si="4">IF((COUNTIF(N8:N28,"*P*") + COUNTIF(N8:N28, "*L*")) &gt;= 0, COUNTIF(N8:N28,"*P*") + COUNTIF(N8:N28, "*L*"), "")</f>
        <v>19</v>
      </c>
      <c r="O34" s="49">
        <f t="shared" si="4"/>
        <v>19</v>
      </c>
      <c r="P34" s="49">
        <f t="shared" si="4"/>
        <v>18</v>
      </c>
      <c r="Q34" s="49">
        <f t="shared" si="4"/>
        <v>0</v>
      </c>
      <c r="R34" s="49">
        <f t="shared" si="4"/>
        <v>19</v>
      </c>
      <c r="S34" s="49"/>
      <c r="T34" s="49">
        <f>IF((COUNTIF(T8:T28,"*P*") + COUNTIF(T8:T28, "*L*")) &gt;= 0, COUNTIF(T8:T28,"*P*") + COUNTIF(T8:T28, "*L*"), "")</f>
        <v>19</v>
      </c>
      <c r="U34" s="49"/>
      <c r="V34" s="49">
        <f t="shared" ref="V34:AA34" si="5">IF((COUNTIF(V8:V28,"*P*") + COUNTIF(V8:V28, "*L*")) &gt;= 0, COUNTIF(V8:V28,"*P*") + COUNTIF(V8:V28, "*L*"), "")</f>
        <v>0</v>
      </c>
      <c r="W34" s="49">
        <f t="shared" si="5"/>
        <v>19</v>
      </c>
      <c r="X34" s="49">
        <f t="shared" si="5"/>
        <v>19</v>
      </c>
      <c r="Y34" s="49">
        <f t="shared" si="5"/>
        <v>18</v>
      </c>
      <c r="Z34" s="49">
        <f t="shared" si="5"/>
        <v>18</v>
      </c>
      <c r="AA34" s="49">
        <f t="shared" si="5"/>
        <v>0</v>
      </c>
    </row>
    <row r="35" ht="30.0" customHeight="1">
      <c r="A35" s="50"/>
      <c r="B35" s="51"/>
      <c r="C35" s="52"/>
      <c r="D35" s="53" t="s">
        <v>95</v>
      </c>
      <c r="E35" s="54">
        <f>IF((COUNTIF(E8:E28,"*A*") + COUNTIF(E8:E28, "*E*")) &gt;= 0, COUNTIF(E8:E28,"*A*") + COUNTIF(E8:E28, "*E*"), "")</f>
        <v>0</v>
      </c>
      <c r="F35" s="54">
        <f>IF((COUNTIF(F8:F33,"*A*") + COUNTIF(F8:F33, "*E*")) &gt;= 0, COUNTIF(F8:F33,"*A*") + COUNTIF(F8:F33, "*E*"), "")</f>
        <v>0</v>
      </c>
      <c r="G35" s="54">
        <f t="shared" ref="G35:H35" si="6">IF((COUNTIF(G8:G28,"*A*") + COUNTIF(G8:G28, "*E*")) &gt;= 0, COUNTIF(G8:G28,"*A*") + COUNTIF(G8:G28, "*E*"), "")</f>
        <v>0</v>
      </c>
      <c r="H35" s="54">
        <f t="shared" si="6"/>
        <v>0</v>
      </c>
      <c r="I35" s="54">
        <f>IF((COUNTIF(I8:I33,"*A*") + COUNTIF(I8:I33, "*E*")) &gt;= 0, COUNTIF(I8:I28,"*A*") + COUNTIF(I8:I33, "*E*"), "")</f>
        <v>0</v>
      </c>
      <c r="J35" s="54">
        <f t="shared" ref="J35:AA35" si="7">IF((COUNTIF(J8:J28,"*A*") + COUNTIF(J8:J28, "*E*")) &gt;= 0, COUNTIF(J8:J28,"*A*") + COUNTIF(J8:J28, "*E*"), "")</f>
        <v>0</v>
      </c>
      <c r="K35" s="54">
        <f t="shared" si="7"/>
        <v>0</v>
      </c>
      <c r="L35" s="54">
        <f t="shared" si="7"/>
        <v>0</v>
      </c>
      <c r="M35" s="54">
        <f t="shared" si="7"/>
        <v>0</v>
      </c>
      <c r="N35" s="54">
        <f t="shared" si="7"/>
        <v>0</v>
      </c>
      <c r="O35" s="54">
        <f t="shared" si="7"/>
        <v>0</v>
      </c>
      <c r="P35" s="54">
        <f t="shared" si="7"/>
        <v>1</v>
      </c>
      <c r="Q35" s="54">
        <f t="shared" si="7"/>
        <v>0</v>
      </c>
      <c r="R35" s="54">
        <f t="shared" si="7"/>
        <v>0</v>
      </c>
      <c r="S35" s="54">
        <f t="shared" si="7"/>
        <v>1</v>
      </c>
      <c r="T35" s="54">
        <f t="shared" si="7"/>
        <v>0</v>
      </c>
      <c r="U35" s="54">
        <f t="shared" si="7"/>
        <v>0</v>
      </c>
      <c r="V35" s="54">
        <f t="shared" si="7"/>
        <v>0</v>
      </c>
      <c r="W35" s="54">
        <f t="shared" si="7"/>
        <v>0</v>
      </c>
      <c r="X35" s="54">
        <f t="shared" si="7"/>
        <v>0</v>
      </c>
      <c r="Y35" s="54">
        <f t="shared" si="7"/>
        <v>1</v>
      </c>
      <c r="Z35" s="54">
        <f t="shared" si="7"/>
        <v>1</v>
      </c>
      <c r="AA35" s="54">
        <f t="shared" si="7"/>
        <v>0</v>
      </c>
    </row>
    <row r="36" ht="30.0" customHeight="1">
      <c r="A36" s="50"/>
      <c r="B36" s="51"/>
      <c r="C36" s="52"/>
      <c r="D36" s="53" t="s">
        <v>49</v>
      </c>
      <c r="E36" s="55">
        <f t="shared" ref="E36:AA36" si="8">SUM(E34+E35)</f>
        <v>24</v>
      </c>
      <c r="F36" s="55">
        <f t="shared" si="8"/>
        <v>24</v>
      </c>
      <c r="G36" s="55">
        <f t="shared" si="8"/>
        <v>0</v>
      </c>
      <c r="H36" s="55">
        <f t="shared" si="8"/>
        <v>24</v>
      </c>
      <c r="I36" s="55">
        <f t="shared" si="8"/>
        <v>24</v>
      </c>
      <c r="J36" s="55">
        <f t="shared" si="8"/>
        <v>19</v>
      </c>
      <c r="K36" s="55">
        <f t="shared" si="8"/>
        <v>19</v>
      </c>
      <c r="L36" s="55">
        <f t="shared" si="8"/>
        <v>0</v>
      </c>
      <c r="M36" s="55">
        <f t="shared" si="8"/>
        <v>24</v>
      </c>
      <c r="N36" s="55">
        <f t="shared" si="8"/>
        <v>19</v>
      </c>
      <c r="O36" s="55">
        <f t="shared" si="8"/>
        <v>19</v>
      </c>
      <c r="P36" s="55">
        <f t="shared" si="8"/>
        <v>19</v>
      </c>
      <c r="Q36" s="55">
        <f t="shared" si="8"/>
        <v>0</v>
      </c>
      <c r="R36" s="55">
        <f t="shared" si="8"/>
        <v>19</v>
      </c>
      <c r="S36" s="55">
        <f t="shared" si="8"/>
        <v>1</v>
      </c>
      <c r="T36" s="55">
        <f t="shared" si="8"/>
        <v>19</v>
      </c>
      <c r="U36" s="55">
        <f t="shared" si="8"/>
        <v>0</v>
      </c>
      <c r="V36" s="55">
        <f t="shared" si="8"/>
        <v>0</v>
      </c>
      <c r="W36" s="55">
        <f t="shared" si="8"/>
        <v>19</v>
      </c>
      <c r="X36" s="55">
        <f t="shared" si="8"/>
        <v>19</v>
      </c>
      <c r="Y36" s="55">
        <f t="shared" si="8"/>
        <v>19</v>
      </c>
      <c r="Z36" s="55">
        <f t="shared" si="8"/>
        <v>19</v>
      </c>
      <c r="AA36" s="55">
        <f t="shared" si="8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5">
    <cfRule type="expression" dxfId="8" priority="1">
      <formula>$DD15="Student - Dropped"</formula>
    </cfRule>
  </conditionalFormatting>
  <conditionalFormatting sqref="D13:D14">
    <cfRule type="expression" dxfId="8" priority="2">
      <formula>$DD15="Student - Dropped"</formula>
    </cfRule>
  </conditionalFormatting>
  <conditionalFormatting sqref="D7:D34 C29 C33:C34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3">
    <cfRule type="cellIs" dxfId="0" priority="4" operator="equal">
      <formula>"S"</formula>
    </cfRule>
  </conditionalFormatting>
  <conditionalFormatting sqref="E8:AA33">
    <cfRule type="cellIs" dxfId="1" priority="5" operator="equal">
      <formula>"N"</formula>
    </cfRule>
  </conditionalFormatting>
  <conditionalFormatting sqref="E8:AA33">
    <cfRule type="cellIs" dxfId="2" priority="6" operator="equal">
      <formula>"D"</formula>
    </cfRule>
  </conditionalFormatting>
  <conditionalFormatting sqref="E8:AA33">
    <cfRule type="cellIs" dxfId="9" priority="7" operator="equal">
      <formula>"R"</formula>
    </cfRule>
  </conditionalFormatting>
  <conditionalFormatting sqref="E8:AA33">
    <cfRule type="cellIs" dxfId="4" priority="8" operator="equal">
      <formula>"H"</formula>
    </cfRule>
  </conditionalFormatting>
  <conditionalFormatting sqref="E8:AA33">
    <cfRule type="cellIs" dxfId="5" priority="9" operator="equal">
      <formula>"E"</formula>
    </cfRule>
  </conditionalFormatting>
  <conditionalFormatting sqref="E8:AA33">
    <cfRule type="cellIs" dxfId="10" priority="10" operator="equal">
      <formula>"L"</formula>
    </cfRule>
  </conditionalFormatting>
  <conditionalFormatting sqref="E8:AA33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3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3">
        <f>COUNTIF(D7:D26, "Student - Active") + COUNTIF(D7:D26, "Student - Added")
</f>
        <v>18</v>
      </c>
      <c r="K2" s="29" t="s">
        <v>37</v>
      </c>
      <c r="N2" s="33">
        <f t="shared" ref="N2:N3" si="1">SUM(E33:AA33)</f>
        <v>232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COUNTIF(D7:D26, "Student Aide - Active") + COUNTIF(D7:D26, "Student Aide - Added")</f>
        <v>0</v>
      </c>
      <c r="K3" s="29" t="s">
        <v>43</v>
      </c>
      <c r="N3" s="33">
        <f t="shared" si="1"/>
        <v>2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COUNTIF(D7:D26, "Student - Added")</f>
        <v>0</v>
      </c>
      <c r="K4" s="29" t="s">
        <v>49</v>
      </c>
      <c r="N4" s="33">
        <f>sum(E35:AA35)</f>
        <v>234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COUNTIF(D7:D26, "Student - Dropped") + COUNTIF(D7:D26, "Student Aide - Dropped")</f>
        <v>0</v>
      </c>
      <c r="K5" s="31" t="s">
        <v>55</v>
      </c>
      <c r="N5" s="34">
        <f>SUM(N2/N4)</f>
        <v>0.9914529915</v>
      </c>
      <c r="P5" s="27"/>
    </row>
    <row r="6" ht="18.75" customHeight="1">
      <c r="A6" s="35" t="s">
        <v>56</v>
      </c>
      <c r="E6" s="36" t="s">
        <v>61</v>
      </c>
      <c r="F6" s="36" t="s">
        <v>57</v>
      </c>
      <c r="G6" s="36" t="s">
        <v>58</v>
      </c>
      <c r="H6" s="36" t="s">
        <v>59</v>
      </c>
      <c r="I6" s="36" t="s">
        <v>60</v>
      </c>
      <c r="J6" s="36" t="s">
        <v>61</v>
      </c>
      <c r="K6" s="36" t="s">
        <v>57</v>
      </c>
      <c r="L6" s="36" t="s">
        <v>58</v>
      </c>
      <c r="M6" s="36" t="s">
        <v>59</v>
      </c>
      <c r="N6" s="36" t="s">
        <v>60</v>
      </c>
      <c r="O6" s="36" t="s">
        <v>61</v>
      </c>
      <c r="P6" s="36" t="s">
        <v>57</v>
      </c>
      <c r="Q6" s="36" t="s">
        <v>58</v>
      </c>
      <c r="R6" s="36" t="s">
        <v>59</v>
      </c>
      <c r="S6" s="36" t="s">
        <v>60</v>
      </c>
      <c r="T6" s="36" t="s">
        <v>61</v>
      </c>
      <c r="U6" s="36" t="s">
        <v>57</v>
      </c>
      <c r="V6" s="36" t="s">
        <v>58</v>
      </c>
      <c r="W6" s="36" t="s">
        <v>59</v>
      </c>
      <c r="X6" s="36" t="s">
        <v>60</v>
      </c>
      <c r="Y6" s="36" t="s">
        <v>61</v>
      </c>
      <c r="Z6" s="36"/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46143.0</v>
      </c>
      <c r="F7" s="40">
        <v>46146.0</v>
      </c>
      <c r="G7" s="40">
        <v>46147.0</v>
      </c>
      <c r="H7" s="56">
        <v>46148.0</v>
      </c>
      <c r="I7" s="40">
        <v>46149.0</v>
      </c>
      <c r="J7" s="40">
        <v>46150.0</v>
      </c>
      <c r="K7" s="40">
        <v>46153.0</v>
      </c>
      <c r="L7" s="40">
        <v>46154.0</v>
      </c>
      <c r="M7" s="40">
        <v>46155.0</v>
      </c>
      <c r="N7" s="40">
        <v>46156.0</v>
      </c>
      <c r="O7" s="40">
        <v>46157.0</v>
      </c>
      <c r="P7" s="40">
        <v>46160.0</v>
      </c>
      <c r="Q7" s="40">
        <v>46161.0</v>
      </c>
      <c r="R7" s="40">
        <v>46162.0</v>
      </c>
      <c r="S7" s="40">
        <v>46163.0</v>
      </c>
      <c r="T7" s="40">
        <v>46164.0</v>
      </c>
      <c r="U7" s="40">
        <v>46167.0</v>
      </c>
      <c r="V7" s="40">
        <v>46168.0</v>
      </c>
      <c r="W7" s="40">
        <v>46169.0</v>
      </c>
      <c r="X7" s="40">
        <v>46170.0</v>
      </c>
      <c r="Y7" s="40">
        <v>46171.0</v>
      </c>
      <c r="Z7" s="40"/>
      <c r="AA7" s="40"/>
    </row>
    <row r="8" ht="15.0" customHeight="1">
      <c r="A8" s="70" t="s">
        <v>163</v>
      </c>
      <c r="B8" s="70"/>
      <c r="C8" s="71"/>
      <c r="D8" s="71"/>
      <c r="E8" s="42"/>
      <c r="F8" s="42"/>
      <c r="G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65" t="s">
        <v>118</v>
      </c>
      <c r="B9" s="65" t="s">
        <v>119</v>
      </c>
      <c r="C9" s="66">
        <v>368523.0</v>
      </c>
      <c r="D9" s="42" t="s">
        <v>78</v>
      </c>
      <c r="E9" s="42"/>
      <c r="F9" s="42" t="s">
        <v>4</v>
      </c>
      <c r="G9" s="42" t="s">
        <v>4</v>
      </c>
      <c r="H9" s="76" t="s">
        <v>4</v>
      </c>
      <c r="I9" s="42" t="s">
        <v>4</v>
      </c>
      <c r="J9" s="42"/>
      <c r="K9" s="42" t="s">
        <v>16</v>
      </c>
      <c r="L9" s="42" t="s">
        <v>4</v>
      </c>
      <c r="M9" s="42" t="s">
        <v>4</v>
      </c>
      <c r="N9" s="42" t="s">
        <v>4</v>
      </c>
      <c r="O9" s="42"/>
      <c r="P9" s="42" t="s">
        <v>4</v>
      </c>
      <c r="Q9" s="42" t="s">
        <v>4</v>
      </c>
      <c r="R9" s="42" t="s">
        <v>4</v>
      </c>
      <c r="S9" s="42" t="s">
        <v>4</v>
      </c>
      <c r="T9" s="42"/>
      <c r="U9" s="42" t="s">
        <v>16</v>
      </c>
      <c r="V9" s="42" t="s">
        <v>4</v>
      </c>
      <c r="W9" s="42" t="s">
        <v>4</v>
      </c>
      <c r="X9" s="42" t="s">
        <v>4</v>
      </c>
      <c r="Y9" s="42"/>
      <c r="Z9" s="42"/>
      <c r="AA9" s="42"/>
    </row>
    <row r="10" ht="15.0" customHeight="1">
      <c r="A10" s="65" t="s">
        <v>120</v>
      </c>
      <c r="B10" s="65" t="s">
        <v>121</v>
      </c>
      <c r="C10" s="66">
        <v>384445.0</v>
      </c>
      <c r="D10" s="42" t="s">
        <v>78</v>
      </c>
      <c r="E10" s="42"/>
      <c r="F10" s="42" t="s">
        <v>4</v>
      </c>
      <c r="G10" s="42" t="s">
        <v>4</v>
      </c>
      <c r="H10" s="76" t="s">
        <v>4</v>
      </c>
      <c r="I10" s="42" t="s">
        <v>4</v>
      </c>
      <c r="J10" s="42"/>
      <c r="K10" s="42" t="s">
        <v>16</v>
      </c>
      <c r="L10" s="42" t="s">
        <v>4</v>
      </c>
      <c r="M10" s="42" t="s">
        <v>4</v>
      </c>
      <c r="N10" s="42" t="s">
        <v>4</v>
      </c>
      <c r="O10" s="42"/>
      <c r="P10" s="42" t="s">
        <v>4</v>
      </c>
      <c r="Q10" s="42" t="s">
        <v>4</v>
      </c>
      <c r="R10" s="42" t="s">
        <v>4</v>
      </c>
      <c r="S10" s="42" t="s">
        <v>4</v>
      </c>
      <c r="T10" s="42"/>
      <c r="U10" s="42" t="s">
        <v>16</v>
      </c>
      <c r="V10" s="42" t="s">
        <v>4</v>
      </c>
      <c r="W10" s="42" t="s">
        <v>4</v>
      </c>
      <c r="X10" s="42" t="s">
        <v>4</v>
      </c>
      <c r="Y10" s="42"/>
      <c r="Z10" s="42"/>
      <c r="AA10" s="42"/>
    </row>
    <row r="11" ht="15.0" customHeight="1">
      <c r="A11" s="65" t="s">
        <v>122</v>
      </c>
      <c r="B11" s="65" t="s">
        <v>123</v>
      </c>
      <c r="C11" s="66">
        <v>380027.0</v>
      </c>
      <c r="D11" s="42" t="s">
        <v>78</v>
      </c>
      <c r="E11" s="42"/>
      <c r="F11" s="42" t="s">
        <v>4</v>
      </c>
      <c r="G11" s="42" t="s">
        <v>4</v>
      </c>
      <c r="H11" s="76" t="s">
        <v>4</v>
      </c>
      <c r="I11" s="42" t="s">
        <v>4</v>
      </c>
      <c r="J11" s="42"/>
      <c r="K11" s="42" t="s">
        <v>16</v>
      </c>
      <c r="L11" s="42" t="s">
        <v>4</v>
      </c>
      <c r="M11" s="42" t="s">
        <v>4</v>
      </c>
      <c r="N11" s="42" t="s">
        <v>4</v>
      </c>
      <c r="O11" s="42"/>
      <c r="P11" s="42" t="s">
        <v>4</v>
      </c>
      <c r="Q11" s="42" t="s">
        <v>4</v>
      </c>
      <c r="R11" s="42" t="s">
        <v>4</v>
      </c>
      <c r="S11" s="42" t="s">
        <v>4</v>
      </c>
      <c r="T11" s="42"/>
      <c r="U11" s="42" t="s">
        <v>16</v>
      </c>
      <c r="V11" s="42" t="s">
        <v>4</v>
      </c>
      <c r="W11" s="42" t="s">
        <v>4</v>
      </c>
      <c r="X11" s="42" t="s">
        <v>4</v>
      </c>
      <c r="Y11" s="42"/>
      <c r="Z11" s="42"/>
      <c r="AA11" s="42"/>
    </row>
    <row r="12" ht="15.0" customHeight="1">
      <c r="A12" s="65" t="s">
        <v>126</v>
      </c>
      <c r="B12" s="65" t="s">
        <v>127</v>
      </c>
      <c r="C12" s="66">
        <v>341113.0</v>
      </c>
      <c r="D12" s="42" t="s">
        <v>78</v>
      </c>
      <c r="E12" s="42"/>
      <c r="F12" s="42" t="s">
        <v>4</v>
      </c>
      <c r="G12" s="42" t="s">
        <v>4</v>
      </c>
      <c r="H12" s="76" t="s">
        <v>4</v>
      </c>
      <c r="I12" s="42" t="s">
        <v>4</v>
      </c>
      <c r="J12" s="42"/>
      <c r="K12" s="42" t="s">
        <v>16</v>
      </c>
      <c r="L12" s="42" t="s">
        <v>4</v>
      </c>
      <c r="M12" s="42" t="s">
        <v>4</v>
      </c>
      <c r="N12" s="42" t="s">
        <v>4</v>
      </c>
      <c r="O12" s="42"/>
      <c r="P12" s="42" t="s">
        <v>4</v>
      </c>
      <c r="Q12" s="42" t="s">
        <v>4</v>
      </c>
      <c r="R12" s="42" t="s">
        <v>4</v>
      </c>
      <c r="S12" s="42" t="s">
        <v>4</v>
      </c>
      <c r="T12" s="42"/>
      <c r="U12" s="42" t="s">
        <v>16</v>
      </c>
      <c r="V12" s="42" t="s">
        <v>4</v>
      </c>
      <c r="W12" s="42" t="s">
        <v>4</v>
      </c>
      <c r="X12" s="42" t="s">
        <v>4</v>
      </c>
      <c r="Y12" s="42"/>
      <c r="Z12" s="42"/>
      <c r="AA12" s="42"/>
    </row>
    <row r="13" ht="15.0" customHeight="1">
      <c r="A13" s="73" t="s">
        <v>164</v>
      </c>
      <c r="B13" s="73" t="s">
        <v>165</v>
      </c>
      <c r="C13" s="74">
        <v>386227.0</v>
      </c>
      <c r="D13" s="42" t="s">
        <v>78</v>
      </c>
      <c r="E13" s="42"/>
      <c r="F13" s="42" t="s">
        <v>4</v>
      </c>
      <c r="G13" s="42" t="s">
        <v>4</v>
      </c>
      <c r="H13" s="76" t="s">
        <v>4</v>
      </c>
      <c r="I13" s="42" t="s">
        <v>4</v>
      </c>
      <c r="J13" s="42"/>
      <c r="K13" s="42" t="s">
        <v>16</v>
      </c>
      <c r="L13" s="42" t="s">
        <v>4</v>
      </c>
      <c r="M13" s="42" t="s">
        <v>4</v>
      </c>
      <c r="N13" s="42" t="s">
        <v>4</v>
      </c>
      <c r="O13" s="42"/>
      <c r="P13" s="42" t="s">
        <v>4</v>
      </c>
      <c r="Q13" s="42" t="s">
        <v>4</v>
      </c>
      <c r="R13" s="42" t="s">
        <v>4</v>
      </c>
      <c r="S13" s="42" t="s">
        <v>4</v>
      </c>
      <c r="T13" s="42"/>
      <c r="U13" s="42" t="s">
        <v>16</v>
      </c>
      <c r="V13" s="42" t="s">
        <v>4</v>
      </c>
      <c r="W13" s="42" t="s">
        <v>4</v>
      </c>
      <c r="X13" s="42" t="s">
        <v>4</v>
      </c>
      <c r="Y13" s="42"/>
      <c r="Z13" s="42"/>
      <c r="AA13" s="42"/>
    </row>
    <row r="14" ht="15.0" customHeight="1">
      <c r="A14" s="67" t="s">
        <v>128</v>
      </c>
      <c r="B14" s="67" t="s">
        <v>129</v>
      </c>
      <c r="C14" s="68">
        <v>388724.0</v>
      </c>
      <c r="D14" s="42" t="s">
        <v>78</v>
      </c>
      <c r="E14" s="42"/>
      <c r="F14" s="42" t="s">
        <v>4</v>
      </c>
      <c r="G14" s="42" t="s">
        <v>4</v>
      </c>
      <c r="H14" s="76" t="s">
        <v>4</v>
      </c>
      <c r="I14" s="42" t="s">
        <v>4</v>
      </c>
      <c r="J14" s="42"/>
      <c r="K14" s="42" t="s">
        <v>16</v>
      </c>
      <c r="L14" s="42" t="s">
        <v>4</v>
      </c>
      <c r="M14" s="42" t="s">
        <v>4</v>
      </c>
      <c r="N14" s="42" t="s">
        <v>4</v>
      </c>
      <c r="O14" s="42"/>
      <c r="P14" s="42" t="s">
        <v>4</v>
      </c>
      <c r="Q14" s="42" t="s">
        <v>4</v>
      </c>
      <c r="R14" s="42" t="s">
        <v>4</v>
      </c>
      <c r="S14" s="42" t="s">
        <v>4</v>
      </c>
      <c r="T14" s="42"/>
      <c r="U14" s="42" t="s">
        <v>16</v>
      </c>
      <c r="V14" s="42" t="s">
        <v>4</v>
      </c>
      <c r="W14" s="42" t="s">
        <v>4</v>
      </c>
      <c r="X14" s="42" t="s">
        <v>4</v>
      </c>
      <c r="Y14" s="42"/>
      <c r="Z14" s="42"/>
      <c r="AA14" s="42"/>
    </row>
    <row r="15" ht="15.0" customHeight="1">
      <c r="A15" s="67" t="s">
        <v>130</v>
      </c>
      <c r="B15" s="67" t="s">
        <v>131</v>
      </c>
      <c r="C15" s="68">
        <v>397231.0</v>
      </c>
      <c r="D15" s="42" t="s">
        <v>78</v>
      </c>
      <c r="E15" s="42"/>
      <c r="F15" s="42" t="s">
        <v>4</v>
      </c>
      <c r="G15" s="42" t="s">
        <v>4</v>
      </c>
      <c r="H15" s="76" t="s">
        <v>4</v>
      </c>
      <c r="I15" s="42" t="s">
        <v>4</v>
      </c>
      <c r="J15" s="42"/>
      <c r="K15" s="42" t="s">
        <v>16</v>
      </c>
      <c r="L15" s="42" t="s">
        <v>4</v>
      </c>
      <c r="M15" s="42" t="s">
        <v>4</v>
      </c>
      <c r="N15" s="42" t="s">
        <v>4</v>
      </c>
      <c r="O15" s="42"/>
      <c r="P15" s="42" t="s">
        <v>4</v>
      </c>
      <c r="Q15" s="42" t="s">
        <v>4</v>
      </c>
      <c r="R15" s="42" t="s">
        <v>4</v>
      </c>
      <c r="S15" s="42" t="s">
        <v>4</v>
      </c>
      <c r="T15" s="42"/>
      <c r="U15" s="42" t="s">
        <v>16</v>
      </c>
      <c r="V15" s="42" t="s">
        <v>4</v>
      </c>
      <c r="W15" s="42" t="s">
        <v>4</v>
      </c>
      <c r="X15" s="42" t="s">
        <v>4</v>
      </c>
      <c r="Y15" s="42"/>
      <c r="Z15" s="42"/>
      <c r="AA15" s="42"/>
    </row>
    <row r="16" ht="15.0" customHeight="1">
      <c r="A16" s="67" t="s">
        <v>132</v>
      </c>
      <c r="B16" s="67" t="s">
        <v>133</v>
      </c>
      <c r="C16" s="68">
        <v>332229.0</v>
      </c>
      <c r="D16" s="42" t="s">
        <v>78</v>
      </c>
      <c r="E16" s="42"/>
      <c r="F16" s="42" t="s">
        <v>6</v>
      </c>
      <c r="G16" s="42" t="s">
        <v>4</v>
      </c>
      <c r="H16" s="76" t="s">
        <v>4</v>
      </c>
      <c r="I16" s="42" t="s">
        <v>4</v>
      </c>
      <c r="J16" s="42"/>
      <c r="K16" s="42" t="s">
        <v>16</v>
      </c>
      <c r="L16" s="42" t="s">
        <v>4</v>
      </c>
      <c r="M16" s="42" t="s">
        <v>4</v>
      </c>
      <c r="N16" s="42" t="s">
        <v>4</v>
      </c>
      <c r="O16" s="42"/>
      <c r="P16" s="42" t="s">
        <v>4</v>
      </c>
      <c r="Q16" s="42" t="s">
        <v>4</v>
      </c>
      <c r="R16" s="42" t="s">
        <v>4</v>
      </c>
      <c r="S16" s="42" t="s">
        <v>4</v>
      </c>
      <c r="T16" s="42"/>
      <c r="U16" s="42" t="s">
        <v>16</v>
      </c>
      <c r="V16" s="42" t="s">
        <v>4</v>
      </c>
      <c r="W16" s="42" t="s">
        <v>4</v>
      </c>
      <c r="X16" s="42" t="s">
        <v>4</v>
      </c>
      <c r="Y16" s="42"/>
      <c r="Z16" s="42"/>
      <c r="AA16" s="42"/>
    </row>
    <row r="17" ht="15.0" customHeight="1">
      <c r="A17" s="67" t="s">
        <v>134</v>
      </c>
      <c r="B17" s="67" t="s">
        <v>135</v>
      </c>
      <c r="C17" s="68">
        <v>390285.0</v>
      </c>
      <c r="D17" s="42" t="s">
        <v>78</v>
      </c>
      <c r="E17" s="42"/>
      <c r="F17" s="42" t="s">
        <v>4</v>
      </c>
      <c r="G17" s="42" t="s">
        <v>4</v>
      </c>
      <c r="H17" s="76" t="s">
        <v>4</v>
      </c>
      <c r="I17" s="42" t="s">
        <v>4</v>
      </c>
      <c r="J17" s="42"/>
      <c r="K17" s="42" t="s">
        <v>16</v>
      </c>
      <c r="L17" s="42" t="s">
        <v>4</v>
      </c>
      <c r="M17" s="42" t="s">
        <v>4</v>
      </c>
      <c r="N17" s="42" t="s">
        <v>4</v>
      </c>
      <c r="O17" s="42"/>
      <c r="P17" s="42" t="s">
        <v>4</v>
      </c>
      <c r="Q17" s="42" t="s">
        <v>4</v>
      </c>
      <c r="R17" s="42" t="s">
        <v>4</v>
      </c>
      <c r="S17" s="42" t="s">
        <v>4</v>
      </c>
      <c r="T17" s="42"/>
      <c r="U17" s="42" t="s">
        <v>16</v>
      </c>
      <c r="V17" s="42" t="s">
        <v>4</v>
      </c>
      <c r="W17" s="42" t="s">
        <v>4</v>
      </c>
      <c r="X17" s="42" t="s">
        <v>4</v>
      </c>
      <c r="Y17" s="42"/>
      <c r="Z17" s="42"/>
      <c r="AA17" s="42"/>
    </row>
    <row r="18" ht="15.0" customHeight="1">
      <c r="A18" s="67" t="s">
        <v>136</v>
      </c>
      <c r="B18" s="67" t="s">
        <v>137</v>
      </c>
      <c r="C18" s="68">
        <v>396863.0</v>
      </c>
      <c r="D18" s="42" t="s">
        <v>78</v>
      </c>
      <c r="E18" s="42"/>
      <c r="F18" s="42" t="s">
        <v>4</v>
      </c>
      <c r="G18" s="42" t="s">
        <v>4</v>
      </c>
      <c r="H18" s="76" t="s">
        <v>4</v>
      </c>
      <c r="I18" s="42" t="s">
        <v>4</v>
      </c>
      <c r="J18" s="42"/>
      <c r="K18" s="42" t="s">
        <v>16</v>
      </c>
      <c r="L18" s="42" t="s">
        <v>4</v>
      </c>
      <c r="M18" s="42" t="s">
        <v>4</v>
      </c>
      <c r="N18" s="42" t="s">
        <v>4</v>
      </c>
      <c r="O18" s="42"/>
      <c r="P18" s="42" t="s">
        <v>4</v>
      </c>
      <c r="Q18" s="42" t="s">
        <v>4</v>
      </c>
      <c r="R18" s="42" t="s">
        <v>4</v>
      </c>
      <c r="S18" s="42" t="s">
        <v>4</v>
      </c>
      <c r="T18" s="42"/>
      <c r="U18" s="42" t="s">
        <v>16</v>
      </c>
      <c r="V18" s="42" t="s">
        <v>4</v>
      </c>
      <c r="W18" s="42" t="s">
        <v>4</v>
      </c>
      <c r="X18" s="42" t="s">
        <v>4</v>
      </c>
      <c r="Y18" s="42"/>
      <c r="Z18" s="42"/>
      <c r="AA18" s="42"/>
    </row>
    <row r="19" ht="15.0" customHeight="1">
      <c r="A19" s="67" t="s">
        <v>138</v>
      </c>
      <c r="B19" s="67" t="s">
        <v>139</v>
      </c>
      <c r="C19" s="68">
        <v>300227.0</v>
      </c>
      <c r="D19" s="42" t="s">
        <v>78</v>
      </c>
      <c r="E19" s="42"/>
      <c r="F19" s="42" t="s">
        <v>4</v>
      </c>
      <c r="G19" s="42" t="s">
        <v>4</v>
      </c>
      <c r="H19" s="76" t="s">
        <v>4</v>
      </c>
      <c r="I19" s="42" t="s">
        <v>4</v>
      </c>
      <c r="J19" s="42"/>
      <c r="K19" s="42" t="s">
        <v>16</v>
      </c>
      <c r="L19" s="42" t="s">
        <v>4</v>
      </c>
      <c r="M19" s="42" t="s">
        <v>4</v>
      </c>
      <c r="N19" s="42" t="s">
        <v>4</v>
      </c>
      <c r="O19" s="42"/>
      <c r="P19" s="42" t="s">
        <v>4</v>
      </c>
      <c r="Q19" s="42" t="s">
        <v>4</v>
      </c>
      <c r="R19" s="42" t="s">
        <v>4</v>
      </c>
      <c r="S19" s="42" t="s">
        <v>4</v>
      </c>
      <c r="T19" s="42"/>
      <c r="U19" s="42" t="s">
        <v>16</v>
      </c>
      <c r="V19" s="42" t="s">
        <v>4</v>
      </c>
      <c r="W19" s="42" t="s">
        <v>4</v>
      </c>
      <c r="X19" s="42" t="s">
        <v>4</v>
      </c>
      <c r="Y19" s="42"/>
      <c r="Z19" s="42"/>
      <c r="AA19" s="42"/>
    </row>
    <row r="20" ht="15.0" customHeight="1">
      <c r="A20" s="67" t="s">
        <v>140</v>
      </c>
      <c r="B20" s="67" t="s">
        <v>141</v>
      </c>
      <c r="C20" s="68">
        <v>397617.0</v>
      </c>
      <c r="D20" s="42" t="s">
        <v>78</v>
      </c>
      <c r="E20" s="42"/>
      <c r="F20" s="42" t="s">
        <v>4</v>
      </c>
      <c r="G20" s="42" t="s">
        <v>4</v>
      </c>
      <c r="H20" s="76" t="s">
        <v>4</v>
      </c>
      <c r="I20" s="42" t="s">
        <v>4</v>
      </c>
      <c r="J20" s="42"/>
      <c r="K20" s="42" t="s">
        <v>16</v>
      </c>
      <c r="L20" s="42" t="s">
        <v>4</v>
      </c>
      <c r="M20" s="42" t="s">
        <v>4</v>
      </c>
      <c r="N20" s="42" t="s">
        <v>4</v>
      </c>
      <c r="O20" s="42"/>
      <c r="P20" s="42" t="s">
        <v>4</v>
      </c>
      <c r="Q20" s="42" t="s">
        <v>4</v>
      </c>
      <c r="R20" s="42" t="s">
        <v>4</v>
      </c>
      <c r="S20" s="42" t="s">
        <v>4</v>
      </c>
      <c r="T20" s="42"/>
      <c r="U20" s="42" t="s">
        <v>16</v>
      </c>
      <c r="V20" s="42" t="s">
        <v>4</v>
      </c>
      <c r="W20" s="42" t="s">
        <v>4</v>
      </c>
      <c r="X20" s="42" t="s">
        <v>4</v>
      </c>
      <c r="Y20" s="42"/>
      <c r="Z20" s="42"/>
      <c r="AA20" s="42"/>
    </row>
    <row r="21" ht="15.0" customHeight="1">
      <c r="A21" s="67" t="s">
        <v>142</v>
      </c>
      <c r="B21" s="67" t="s">
        <v>143</v>
      </c>
      <c r="C21" s="68">
        <v>347294.0</v>
      </c>
      <c r="D21" s="42" t="s">
        <v>78</v>
      </c>
      <c r="E21" s="42"/>
      <c r="F21" s="42" t="s">
        <v>4</v>
      </c>
      <c r="G21" s="42" t="s">
        <v>4</v>
      </c>
      <c r="H21" s="76" t="s">
        <v>4</v>
      </c>
      <c r="I21" s="42" t="s">
        <v>4</v>
      </c>
      <c r="J21" s="42"/>
      <c r="K21" s="42" t="s">
        <v>16</v>
      </c>
      <c r="L21" s="42" t="s">
        <v>4</v>
      </c>
      <c r="M21" s="42" t="s">
        <v>4</v>
      </c>
      <c r="N21" s="42" t="s">
        <v>4</v>
      </c>
      <c r="O21" s="42"/>
      <c r="P21" s="42" t="s">
        <v>4</v>
      </c>
      <c r="Q21" s="42" t="s">
        <v>4</v>
      </c>
      <c r="R21" s="42" t="s">
        <v>4</v>
      </c>
      <c r="S21" s="42" t="s">
        <v>4</v>
      </c>
      <c r="T21" s="42"/>
      <c r="U21" s="42" t="s">
        <v>16</v>
      </c>
      <c r="V21" s="42" t="s">
        <v>4</v>
      </c>
      <c r="W21" s="42" t="s">
        <v>4</v>
      </c>
      <c r="X21" s="42" t="s">
        <v>4</v>
      </c>
      <c r="Y21" s="42"/>
      <c r="Z21" s="42"/>
      <c r="AA21" s="42"/>
    </row>
    <row r="22" ht="15.0" customHeight="1">
      <c r="A22" s="67" t="s">
        <v>144</v>
      </c>
      <c r="B22" s="67" t="s">
        <v>145</v>
      </c>
      <c r="C22" s="68">
        <v>371295.0</v>
      </c>
      <c r="D22" s="42" t="s">
        <v>78</v>
      </c>
      <c r="E22" s="42"/>
      <c r="F22" s="42" t="s">
        <v>4</v>
      </c>
      <c r="G22" s="42" t="s">
        <v>4</v>
      </c>
      <c r="H22" s="76" t="s">
        <v>4</v>
      </c>
      <c r="I22" s="42" t="s">
        <v>4</v>
      </c>
      <c r="J22" s="42"/>
      <c r="K22" s="42" t="s">
        <v>16</v>
      </c>
      <c r="L22" s="42" t="s">
        <v>4</v>
      </c>
      <c r="M22" s="42" t="s">
        <v>4</v>
      </c>
      <c r="N22" s="42" t="s">
        <v>4</v>
      </c>
      <c r="O22" s="42"/>
      <c r="P22" s="42" t="s">
        <v>4</v>
      </c>
      <c r="Q22" s="42" t="s">
        <v>4</v>
      </c>
      <c r="R22" s="42" t="s">
        <v>4</v>
      </c>
      <c r="S22" s="42" t="s">
        <v>4</v>
      </c>
      <c r="T22" s="42"/>
      <c r="U22" s="42" t="s">
        <v>16</v>
      </c>
      <c r="V22" s="42" t="s">
        <v>4</v>
      </c>
      <c r="W22" s="42" t="s">
        <v>4</v>
      </c>
      <c r="X22" s="42" t="s">
        <v>4</v>
      </c>
      <c r="Y22" s="42"/>
      <c r="Z22" s="42"/>
      <c r="AA22" s="42"/>
    </row>
    <row r="23" ht="15.0" customHeight="1">
      <c r="A23" s="67" t="s">
        <v>146</v>
      </c>
      <c r="B23" s="67" t="s">
        <v>147</v>
      </c>
      <c r="C23" s="68">
        <v>397159.0</v>
      </c>
      <c r="D23" s="42" t="s">
        <v>78</v>
      </c>
      <c r="E23" s="42"/>
      <c r="F23" s="42" t="s">
        <v>4</v>
      </c>
      <c r="G23" s="42" t="s">
        <v>6</v>
      </c>
      <c r="H23" s="76" t="s">
        <v>4</v>
      </c>
      <c r="I23" s="42" t="s">
        <v>4</v>
      </c>
      <c r="J23" s="42"/>
      <c r="K23" s="42" t="s">
        <v>16</v>
      </c>
      <c r="L23" s="42" t="s">
        <v>4</v>
      </c>
      <c r="M23" s="42" t="s">
        <v>4</v>
      </c>
      <c r="N23" s="42" t="s">
        <v>4</v>
      </c>
      <c r="O23" s="42"/>
      <c r="P23" s="42" t="s">
        <v>4</v>
      </c>
      <c r="Q23" s="42" t="s">
        <v>4</v>
      </c>
      <c r="R23" s="42" t="s">
        <v>4</v>
      </c>
      <c r="S23" s="42" t="s">
        <v>4</v>
      </c>
      <c r="T23" s="42"/>
      <c r="U23" s="42" t="s">
        <v>16</v>
      </c>
      <c r="V23" s="42" t="s">
        <v>4</v>
      </c>
      <c r="W23" s="42" t="s">
        <v>4</v>
      </c>
      <c r="X23" s="42" t="s">
        <v>4</v>
      </c>
      <c r="Y23" s="42"/>
      <c r="Z23" s="42"/>
      <c r="AA23" s="42"/>
    </row>
    <row r="24" ht="15.0" customHeight="1">
      <c r="A24" s="67" t="s">
        <v>148</v>
      </c>
      <c r="B24" s="67" t="s">
        <v>149</v>
      </c>
      <c r="C24" s="68">
        <v>397521.0</v>
      </c>
      <c r="D24" s="42" t="s">
        <v>78</v>
      </c>
      <c r="E24" s="42"/>
      <c r="F24" s="42" t="s">
        <v>4</v>
      </c>
      <c r="G24" s="42" t="s">
        <v>4</v>
      </c>
      <c r="H24" s="76" t="s">
        <v>4</v>
      </c>
      <c r="I24" s="42" t="s">
        <v>4</v>
      </c>
      <c r="J24" s="42"/>
      <c r="K24" s="42" t="s">
        <v>16</v>
      </c>
      <c r="L24" s="42" t="s">
        <v>4</v>
      </c>
      <c r="M24" s="42" t="s">
        <v>4</v>
      </c>
      <c r="N24" s="42" t="s">
        <v>4</v>
      </c>
      <c r="O24" s="42"/>
      <c r="P24" s="42" t="s">
        <v>4</v>
      </c>
      <c r="Q24" s="42" t="s">
        <v>4</v>
      </c>
      <c r="R24" s="42" t="s">
        <v>4</v>
      </c>
      <c r="S24" s="42" t="s">
        <v>4</v>
      </c>
      <c r="T24" s="42"/>
      <c r="U24" s="42" t="s">
        <v>16</v>
      </c>
      <c r="V24" s="42" t="s">
        <v>4</v>
      </c>
      <c r="W24" s="42" t="s">
        <v>4</v>
      </c>
      <c r="X24" s="42" t="s">
        <v>4</v>
      </c>
      <c r="Y24" s="42"/>
      <c r="Z24" s="42"/>
      <c r="AA24" s="42"/>
    </row>
    <row r="25" ht="15.0" customHeight="1">
      <c r="A25" s="67" t="s">
        <v>150</v>
      </c>
      <c r="B25" s="67" t="s">
        <v>151</v>
      </c>
      <c r="C25" s="68">
        <v>395368.0</v>
      </c>
      <c r="D25" s="42" t="s">
        <v>78</v>
      </c>
      <c r="E25" s="42"/>
      <c r="F25" s="42" t="s">
        <v>4</v>
      </c>
      <c r="G25" s="42" t="s">
        <v>4</v>
      </c>
      <c r="H25" s="76" t="s">
        <v>4</v>
      </c>
      <c r="I25" s="76" t="s">
        <v>4</v>
      </c>
      <c r="J25" s="42"/>
      <c r="K25" s="42" t="s">
        <v>16</v>
      </c>
      <c r="L25" s="42" t="s">
        <v>4</v>
      </c>
      <c r="M25" s="42" t="s">
        <v>4</v>
      </c>
      <c r="N25" s="42" t="s">
        <v>4</v>
      </c>
      <c r="O25" s="42"/>
      <c r="P25" s="42" t="s">
        <v>4</v>
      </c>
      <c r="Q25" s="42" t="s">
        <v>4</v>
      </c>
      <c r="R25" s="42" t="s">
        <v>4</v>
      </c>
      <c r="S25" s="42" t="s">
        <v>4</v>
      </c>
      <c r="T25" s="42"/>
      <c r="U25" s="42" t="s">
        <v>16</v>
      </c>
      <c r="V25" s="42" t="s">
        <v>4</v>
      </c>
      <c r="W25" s="42" t="s">
        <v>4</v>
      </c>
      <c r="X25" s="42" t="s">
        <v>4</v>
      </c>
      <c r="Y25" s="42"/>
      <c r="Z25" s="42"/>
      <c r="AA25" s="42"/>
    </row>
    <row r="26" ht="15.0" customHeight="1">
      <c r="A26" s="67" t="s">
        <v>152</v>
      </c>
      <c r="B26" s="67" t="s">
        <v>153</v>
      </c>
      <c r="C26" s="68">
        <v>371776.0</v>
      </c>
      <c r="D26" s="42" t="s">
        <v>78</v>
      </c>
      <c r="E26" s="42"/>
      <c r="F26" s="42" t="s">
        <v>4</v>
      </c>
      <c r="G26" s="42" t="s">
        <v>4</v>
      </c>
      <c r="H26" s="76" t="s">
        <v>4</v>
      </c>
      <c r="I26" s="42" t="s">
        <v>4</v>
      </c>
      <c r="J26" s="42"/>
      <c r="K26" s="42" t="s">
        <v>16</v>
      </c>
      <c r="L26" s="42" t="s">
        <v>4</v>
      </c>
      <c r="M26" s="42" t="s">
        <v>4</v>
      </c>
      <c r="N26" s="42" t="s">
        <v>4</v>
      </c>
      <c r="O26" s="42"/>
      <c r="P26" s="42" t="s">
        <v>4</v>
      </c>
      <c r="Q26" s="42" t="s">
        <v>4</v>
      </c>
      <c r="R26" s="42" t="s">
        <v>4</v>
      </c>
      <c r="S26" s="42" t="s">
        <v>4</v>
      </c>
      <c r="T26" s="42"/>
      <c r="U26" s="42" t="s">
        <v>16</v>
      </c>
      <c r="V26" s="42" t="s">
        <v>4</v>
      </c>
      <c r="W26" s="42" t="s">
        <v>4</v>
      </c>
      <c r="X26" s="42" t="s">
        <v>4</v>
      </c>
      <c r="Y26" s="42"/>
      <c r="Z26" s="42"/>
      <c r="AA26" s="42"/>
    </row>
    <row r="27" ht="15.0" customHeight="1">
      <c r="A27" s="67" t="s">
        <v>126</v>
      </c>
      <c r="B27" s="67" t="s">
        <v>154</v>
      </c>
      <c r="C27" s="68">
        <v>351694.0</v>
      </c>
      <c r="D27" s="42" t="s">
        <v>78</v>
      </c>
      <c r="E27" s="42"/>
      <c r="F27" s="42" t="s">
        <v>4</v>
      </c>
      <c r="G27" s="42" t="s">
        <v>4</v>
      </c>
      <c r="H27" s="76" t="s">
        <v>4</v>
      </c>
      <c r="I27" s="42" t="s">
        <v>4</v>
      </c>
      <c r="J27" s="42"/>
      <c r="K27" s="42" t="s">
        <v>16</v>
      </c>
      <c r="L27" s="42" t="s">
        <v>4</v>
      </c>
      <c r="M27" s="42" t="s">
        <v>4</v>
      </c>
      <c r="N27" s="42" t="s">
        <v>4</v>
      </c>
      <c r="O27" s="42"/>
      <c r="P27" s="42" t="s">
        <v>4</v>
      </c>
      <c r="Q27" s="42" t="s">
        <v>4</v>
      </c>
      <c r="R27" s="42" t="s">
        <v>4</v>
      </c>
      <c r="S27" s="42" t="s">
        <v>4</v>
      </c>
      <c r="T27" s="42"/>
      <c r="U27" s="42" t="s">
        <v>16</v>
      </c>
      <c r="V27" s="42" t="s">
        <v>4</v>
      </c>
      <c r="W27" s="42" t="s">
        <v>4</v>
      </c>
      <c r="X27" s="42" t="s">
        <v>4</v>
      </c>
      <c r="Y27" s="42"/>
      <c r="Z27" s="42"/>
      <c r="AA27" s="42"/>
    </row>
    <row r="28" ht="15.0" customHeight="1">
      <c r="A28" s="67" t="s">
        <v>155</v>
      </c>
      <c r="B28" s="67" t="s">
        <v>156</v>
      </c>
      <c r="C28" s="68">
        <v>383828.0</v>
      </c>
      <c r="D28" s="42" t="s">
        <v>78</v>
      </c>
      <c r="E28" s="42"/>
      <c r="F28" s="42" t="s">
        <v>6</v>
      </c>
      <c r="G28" s="42" t="s">
        <v>4</v>
      </c>
      <c r="H28" s="76" t="s">
        <v>4</v>
      </c>
      <c r="I28" s="42" t="s">
        <v>4</v>
      </c>
      <c r="J28" s="42"/>
      <c r="K28" s="42" t="s">
        <v>16</v>
      </c>
      <c r="L28" s="42" t="s">
        <v>4</v>
      </c>
      <c r="M28" s="42" t="s">
        <v>4</v>
      </c>
      <c r="N28" s="42" t="s">
        <v>4</v>
      </c>
      <c r="O28" s="42"/>
      <c r="P28" s="42" t="s">
        <v>4</v>
      </c>
      <c r="Q28" s="42" t="s">
        <v>4</v>
      </c>
      <c r="R28" s="42" t="s">
        <v>4</v>
      </c>
      <c r="S28" s="42" t="s">
        <v>4</v>
      </c>
      <c r="T28" s="42"/>
      <c r="U28" s="42" t="s">
        <v>16</v>
      </c>
      <c r="V28" s="42" t="s">
        <v>4</v>
      </c>
      <c r="W28" s="42" t="s">
        <v>4</v>
      </c>
      <c r="X28" s="42" t="s">
        <v>4</v>
      </c>
      <c r="Y28" s="42"/>
      <c r="Z28" s="42"/>
      <c r="AA28" s="42"/>
    </row>
    <row r="29" ht="15.0" customHeight="1">
      <c r="A29" s="67" t="s">
        <v>157</v>
      </c>
      <c r="B29" s="67" t="s">
        <v>158</v>
      </c>
      <c r="C29" s="68">
        <v>380685.0</v>
      </c>
      <c r="D29" s="42" t="s">
        <v>78</v>
      </c>
      <c r="E29" s="42"/>
      <c r="F29" s="42" t="s">
        <v>4</v>
      </c>
      <c r="G29" s="42" t="s">
        <v>4</v>
      </c>
      <c r="H29" s="76" t="s">
        <v>4</v>
      </c>
      <c r="I29" s="42" t="s">
        <v>4</v>
      </c>
      <c r="J29" s="42"/>
      <c r="K29" s="42" t="s">
        <v>16</v>
      </c>
      <c r="L29" s="42" t="s">
        <v>4</v>
      </c>
      <c r="M29" s="42" t="s">
        <v>4</v>
      </c>
      <c r="N29" s="42" t="s">
        <v>4</v>
      </c>
      <c r="O29" s="42"/>
      <c r="P29" s="42" t="s">
        <v>4</v>
      </c>
      <c r="Q29" s="42" t="s">
        <v>4</v>
      </c>
      <c r="R29" s="42" t="s">
        <v>4</v>
      </c>
      <c r="S29" s="42" t="s">
        <v>4</v>
      </c>
      <c r="T29" s="42"/>
      <c r="U29" s="42" t="s">
        <v>16</v>
      </c>
      <c r="V29" s="42" t="s">
        <v>4</v>
      </c>
      <c r="W29" s="42" t="s">
        <v>4</v>
      </c>
      <c r="X29" s="42" t="s">
        <v>4</v>
      </c>
      <c r="Y29" s="42"/>
      <c r="Z29" s="42"/>
      <c r="AA29" s="42"/>
    </row>
    <row r="30" ht="15.0" customHeight="1">
      <c r="A30" s="67" t="s">
        <v>159</v>
      </c>
      <c r="B30" s="67" t="s">
        <v>160</v>
      </c>
      <c r="C30" s="68">
        <v>390977.0</v>
      </c>
      <c r="D30" s="42" t="s">
        <v>78</v>
      </c>
      <c r="E30" s="42"/>
      <c r="F30" s="42" t="s">
        <v>4</v>
      </c>
      <c r="G30" s="42" t="s">
        <v>4</v>
      </c>
      <c r="H30" s="76" t="s">
        <v>4</v>
      </c>
      <c r="I30" s="42" t="s">
        <v>4</v>
      </c>
      <c r="J30" s="42"/>
      <c r="K30" s="42" t="s">
        <v>16</v>
      </c>
      <c r="L30" s="42" t="s">
        <v>4</v>
      </c>
      <c r="M30" s="42" t="s">
        <v>4</v>
      </c>
      <c r="N30" s="42" t="s">
        <v>4</v>
      </c>
      <c r="O30" s="42"/>
      <c r="P30" s="42" t="s">
        <v>4</v>
      </c>
      <c r="Q30" s="42" t="s">
        <v>4</v>
      </c>
      <c r="R30" s="42" t="s">
        <v>4</v>
      </c>
      <c r="S30" s="42" t="s">
        <v>4</v>
      </c>
      <c r="T30" s="42"/>
      <c r="U30" s="42" t="s">
        <v>16</v>
      </c>
      <c r="V30" s="42" t="s">
        <v>4</v>
      </c>
      <c r="W30" s="42" t="s">
        <v>4</v>
      </c>
      <c r="X30" s="42" t="s">
        <v>4</v>
      </c>
      <c r="Y30" s="42"/>
      <c r="Z30" s="42"/>
      <c r="AA30" s="42"/>
    </row>
    <row r="31" ht="15.0" customHeight="1">
      <c r="A31" s="77" t="s">
        <v>99</v>
      </c>
      <c r="B31" s="77" t="s">
        <v>100</v>
      </c>
      <c r="C31" s="78">
        <v>353303.0</v>
      </c>
      <c r="D31" s="71" t="s">
        <v>76</v>
      </c>
      <c r="E31" s="79"/>
      <c r="F31" s="79" t="s">
        <v>14</v>
      </c>
      <c r="G31" s="79" t="s">
        <v>14</v>
      </c>
      <c r="H31" s="80" t="s">
        <v>14</v>
      </c>
      <c r="I31" s="79" t="s">
        <v>14</v>
      </c>
      <c r="J31" s="79"/>
      <c r="K31" s="79" t="s">
        <v>16</v>
      </c>
      <c r="L31" s="79" t="s">
        <v>14</v>
      </c>
      <c r="M31" s="79" t="s">
        <v>14</v>
      </c>
      <c r="N31" s="79" t="s">
        <v>14</v>
      </c>
      <c r="O31" s="79"/>
      <c r="P31" s="79" t="s">
        <v>14</v>
      </c>
      <c r="Q31" s="79" t="s">
        <v>14</v>
      </c>
      <c r="R31" s="79"/>
      <c r="S31" s="79"/>
      <c r="T31" s="79"/>
      <c r="U31" s="79" t="s">
        <v>16</v>
      </c>
      <c r="V31" s="79"/>
      <c r="W31" s="79"/>
      <c r="X31" s="79"/>
      <c r="Y31" s="79"/>
      <c r="Z31" s="79"/>
      <c r="AA31" s="42"/>
    </row>
    <row r="32" ht="15.0" customHeight="1">
      <c r="A32" s="60" t="s">
        <v>115</v>
      </c>
      <c r="B32" s="60" t="s">
        <v>116</v>
      </c>
      <c r="C32" s="58">
        <v>254387.0</v>
      </c>
      <c r="D32" s="42" t="s">
        <v>68</v>
      </c>
      <c r="E32" s="42"/>
      <c r="F32" s="42" t="s">
        <v>4</v>
      </c>
      <c r="G32" s="42" t="s">
        <v>4</v>
      </c>
      <c r="H32" s="76" t="s">
        <v>4</v>
      </c>
      <c r="I32" s="42" t="s">
        <v>4</v>
      </c>
      <c r="J32" s="42"/>
      <c r="K32" s="42" t="s">
        <v>16</v>
      </c>
      <c r="L32" s="42" t="s">
        <v>4</v>
      </c>
      <c r="M32" s="42" t="s">
        <v>4</v>
      </c>
      <c r="N32" s="42" t="s">
        <v>4</v>
      </c>
      <c r="O32" s="42"/>
      <c r="P32" s="42"/>
      <c r="Q32" s="42" t="s">
        <v>4</v>
      </c>
      <c r="R32" s="42" t="s">
        <v>4</v>
      </c>
      <c r="S32" s="42" t="s">
        <v>4</v>
      </c>
      <c r="T32" s="42"/>
      <c r="U32" s="42" t="s">
        <v>16</v>
      </c>
      <c r="V32" s="42" t="s">
        <v>4</v>
      </c>
      <c r="W32" s="42" t="s">
        <v>4</v>
      </c>
      <c r="X32" s="42"/>
      <c r="Y32" s="42"/>
      <c r="Z32" s="42"/>
      <c r="AA32" s="42"/>
    </row>
    <row r="33" ht="30.0" customHeight="1">
      <c r="A33" s="46"/>
      <c r="B33" s="46"/>
      <c r="C33" s="47"/>
      <c r="D33" s="48" t="s">
        <v>94</v>
      </c>
      <c r="E33" s="49">
        <f t="shared" ref="E33:G33" si="2">IF((COUNTIF(E8:E26,"*P*") + COUNTIF(E8:E26, "*L*")) &gt;= 0, COUNTIF(E8:E26,"*P*") + COUNTIF(E8:E26, "*L*"), "")</f>
        <v>0</v>
      </c>
      <c r="F33" s="49">
        <f t="shared" si="2"/>
        <v>17</v>
      </c>
      <c r="G33" s="49">
        <f t="shared" si="2"/>
        <v>17</v>
      </c>
      <c r="H33" s="49">
        <f>IF((COUNTIF(U8:U26,"*P*") + COUNTIF(U8:U26, "*L*")) &gt;= 0, COUNTIF(U8:U26,"*P*") + COUNTIF(U8:U26, "*L*"), "")</f>
        <v>0</v>
      </c>
      <c r="I33" s="49">
        <f t="shared" ref="I33:T33" si="3">IF((COUNTIF(I8:I26,"*P*") + COUNTIF(I8:I26, "*L*")) &gt;= 0, COUNTIF(I8:I26,"*P*") + COUNTIF(I8:I26, "*L*"), "")</f>
        <v>18</v>
      </c>
      <c r="J33" s="49">
        <f t="shared" si="3"/>
        <v>0</v>
      </c>
      <c r="K33" s="49">
        <f t="shared" si="3"/>
        <v>0</v>
      </c>
      <c r="L33" s="49">
        <f t="shared" si="3"/>
        <v>18</v>
      </c>
      <c r="M33" s="49">
        <f t="shared" si="3"/>
        <v>18</v>
      </c>
      <c r="N33" s="49">
        <f t="shared" si="3"/>
        <v>18</v>
      </c>
      <c r="O33" s="49">
        <f t="shared" si="3"/>
        <v>0</v>
      </c>
      <c r="P33" s="49">
        <f t="shared" si="3"/>
        <v>18</v>
      </c>
      <c r="Q33" s="49">
        <f t="shared" si="3"/>
        <v>18</v>
      </c>
      <c r="R33" s="49">
        <f t="shared" si="3"/>
        <v>18</v>
      </c>
      <c r="S33" s="49">
        <f t="shared" si="3"/>
        <v>18</v>
      </c>
      <c r="T33" s="49">
        <f t="shared" si="3"/>
        <v>0</v>
      </c>
      <c r="U33" s="49">
        <f>IF((COUNTIF(#REF!,"*P*") + COUNTIF(#REF!, "*L*")) &gt;= 0, COUNTIF(#REF!,"*P*") + COUNTIF(#REF!, "*L*"), "")</f>
        <v>0</v>
      </c>
      <c r="V33" s="49">
        <f t="shared" ref="V33:AA33" si="4">IF((COUNTIF(V8:V26,"*P*") + COUNTIF(V8:V26, "*L*")) &gt;= 0, COUNTIF(V8:V26,"*P*") + COUNTIF(V8:V26, "*L*"), "")</f>
        <v>18</v>
      </c>
      <c r="W33" s="49">
        <f t="shared" si="4"/>
        <v>18</v>
      </c>
      <c r="X33" s="49">
        <f t="shared" si="4"/>
        <v>18</v>
      </c>
      <c r="Y33" s="49">
        <f t="shared" si="4"/>
        <v>0</v>
      </c>
      <c r="Z33" s="49">
        <f t="shared" si="4"/>
        <v>0</v>
      </c>
      <c r="AA33" s="49">
        <f t="shared" si="4"/>
        <v>0</v>
      </c>
    </row>
    <row r="34" ht="30.0" customHeight="1">
      <c r="A34" s="50"/>
      <c r="B34" s="51"/>
      <c r="C34" s="52"/>
      <c r="D34" s="53" t="s">
        <v>95</v>
      </c>
      <c r="E34" s="54">
        <f t="shared" ref="E34:G34" si="5">IF((COUNTIF(E8:E26,"*A*") + COUNTIF(E8:E26, "*E*")) &gt;= 0, COUNTIF(E8:E26,"*A*") + COUNTIF(E8:E26, "*E*"), "")</f>
        <v>0</v>
      </c>
      <c r="F34" s="54">
        <f t="shared" si="5"/>
        <v>1</v>
      </c>
      <c r="G34" s="54">
        <f t="shared" si="5"/>
        <v>1</v>
      </c>
      <c r="H34" s="54">
        <f>IF((COUNTIF(U8:U26,"*A*") + COUNTIF(U8:U26, "*E*")) &gt;= 0, COUNTIF(U8:U26,"*A*") + COUNTIF(U8:U26, "*E*"), "")</f>
        <v>0</v>
      </c>
      <c r="I34" s="54">
        <f t="shared" ref="I34:T34" si="6">IF((COUNTIF(I8:I26,"*A*") + COUNTIF(I8:I26, "*E*")) &gt;= 0, COUNTIF(I8:I26,"*A*") + COUNTIF(I8:I26, "*E*"), "")</f>
        <v>0</v>
      </c>
      <c r="J34" s="54">
        <f t="shared" si="6"/>
        <v>0</v>
      </c>
      <c r="K34" s="54">
        <f t="shared" si="6"/>
        <v>0</v>
      </c>
      <c r="L34" s="54">
        <f t="shared" si="6"/>
        <v>0</v>
      </c>
      <c r="M34" s="54">
        <f t="shared" si="6"/>
        <v>0</v>
      </c>
      <c r="N34" s="54">
        <f t="shared" si="6"/>
        <v>0</v>
      </c>
      <c r="O34" s="54">
        <f t="shared" si="6"/>
        <v>0</v>
      </c>
      <c r="P34" s="54">
        <f t="shared" si="6"/>
        <v>0</v>
      </c>
      <c r="Q34" s="54">
        <f t="shared" si="6"/>
        <v>0</v>
      </c>
      <c r="R34" s="54">
        <f t="shared" si="6"/>
        <v>0</v>
      </c>
      <c r="S34" s="54">
        <f t="shared" si="6"/>
        <v>0</v>
      </c>
      <c r="T34" s="54">
        <f t="shared" si="6"/>
        <v>0</v>
      </c>
      <c r="U34" s="54">
        <f>IF((COUNTIF(#REF!,"*A*") + COUNTIF(#REF!, "*E*")) &gt;= 0, COUNTIF(#REF!,"*A*") + COUNTIF(#REF!, "*E*"), "")</f>
        <v>0</v>
      </c>
      <c r="V34" s="54">
        <f t="shared" ref="V34:AA34" si="7">IF((COUNTIF(V8:V26,"*A*") + COUNTIF(V8:V26, "*E*")) &gt;= 0, COUNTIF(V8:V26,"*A*") + COUNTIF(V8:V26, "*E*"), "")</f>
        <v>0</v>
      </c>
      <c r="W34" s="54">
        <f t="shared" si="7"/>
        <v>0</v>
      </c>
      <c r="X34" s="54">
        <f t="shared" si="7"/>
        <v>0</v>
      </c>
      <c r="Y34" s="54">
        <f t="shared" si="7"/>
        <v>0</v>
      </c>
      <c r="Z34" s="54">
        <f t="shared" si="7"/>
        <v>0</v>
      </c>
      <c r="AA34" s="54">
        <f t="shared" si="7"/>
        <v>0</v>
      </c>
    </row>
    <row r="35" ht="30.0" customHeight="1">
      <c r="A35" s="50"/>
      <c r="B35" s="51"/>
      <c r="C35" s="52"/>
      <c r="D35" s="53" t="s">
        <v>49</v>
      </c>
      <c r="E35" s="55">
        <f t="shared" ref="E35:AA35" si="8">SUM(E33+E34)</f>
        <v>0</v>
      </c>
      <c r="F35" s="55">
        <f t="shared" si="8"/>
        <v>18</v>
      </c>
      <c r="G35" s="55">
        <f t="shared" si="8"/>
        <v>18</v>
      </c>
      <c r="H35" s="55">
        <f t="shared" si="8"/>
        <v>0</v>
      </c>
      <c r="I35" s="55">
        <f t="shared" si="8"/>
        <v>18</v>
      </c>
      <c r="J35" s="55">
        <f t="shared" si="8"/>
        <v>0</v>
      </c>
      <c r="K35" s="55">
        <f t="shared" si="8"/>
        <v>0</v>
      </c>
      <c r="L35" s="55">
        <f t="shared" si="8"/>
        <v>18</v>
      </c>
      <c r="M35" s="55">
        <f t="shared" si="8"/>
        <v>18</v>
      </c>
      <c r="N35" s="55">
        <f t="shared" si="8"/>
        <v>18</v>
      </c>
      <c r="O35" s="55">
        <f t="shared" si="8"/>
        <v>0</v>
      </c>
      <c r="P35" s="55">
        <f t="shared" si="8"/>
        <v>18</v>
      </c>
      <c r="Q35" s="55">
        <f t="shared" si="8"/>
        <v>18</v>
      </c>
      <c r="R35" s="55">
        <f t="shared" si="8"/>
        <v>18</v>
      </c>
      <c r="S35" s="55">
        <f t="shared" si="8"/>
        <v>18</v>
      </c>
      <c r="T35" s="55">
        <f t="shared" si="8"/>
        <v>0</v>
      </c>
      <c r="U35" s="55">
        <f t="shared" si="8"/>
        <v>0</v>
      </c>
      <c r="V35" s="55">
        <f t="shared" si="8"/>
        <v>18</v>
      </c>
      <c r="W35" s="55">
        <f t="shared" si="8"/>
        <v>18</v>
      </c>
      <c r="X35" s="55">
        <f t="shared" si="8"/>
        <v>18</v>
      </c>
      <c r="Y35" s="55">
        <f t="shared" si="8"/>
        <v>0</v>
      </c>
      <c r="Z35" s="55">
        <f t="shared" si="8"/>
        <v>0</v>
      </c>
      <c r="AA35" s="55">
        <f t="shared" si="8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2:D13">
    <cfRule type="expression" dxfId="8" priority="1">
      <formula>$DD14="Student - Dropped"</formula>
    </cfRule>
  </conditionalFormatting>
  <conditionalFormatting sqref="D13:D14">
    <cfRule type="expression" dxfId="8" priority="2">
      <formula>$DD13="Student - Dropped"</formula>
    </cfRule>
  </conditionalFormatting>
  <conditionalFormatting sqref="D12">
    <cfRule type="expression" dxfId="8" priority="3">
      <formula>$DD13="Student - Dropped"</formula>
    </cfRule>
  </conditionalFormatting>
  <conditionalFormatting sqref="D7:D33 C28 C32:C33">
    <cfRule type="colorScale" priority="4">
      <colorScale>
        <cfvo type="min"/>
        <cfvo type="max"/>
        <color rgb="FF57BB8A"/>
        <color rgb="FFFFFFFF"/>
      </colorScale>
    </cfRule>
  </conditionalFormatting>
  <conditionalFormatting sqref="E8:AA32">
    <cfRule type="cellIs" dxfId="0" priority="5" operator="equal">
      <formula>"S"</formula>
    </cfRule>
  </conditionalFormatting>
  <conditionalFormatting sqref="E8:AA32">
    <cfRule type="cellIs" dxfId="1" priority="6" operator="equal">
      <formula>"N"</formula>
    </cfRule>
  </conditionalFormatting>
  <conditionalFormatting sqref="E8:AA32">
    <cfRule type="cellIs" dxfId="2" priority="7" operator="equal">
      <formula>"D"</formula>
    </cfRule>
  </conditionalFormatting>
  <conditionalFormatting sqref="E8:AA32">
    <cfRule type="cellIs" dxfId="9" priority="8" operator="equal">
      <formula>"R"</formula>
    </cfRule>
  </conditionalFormatting>
  <conditionalFormatting sqref="E8:AA32">
    <cfRule type="cellIs" dxfId="4" priority="9" operator="equal">
      <formula>"H"</formula>
    </cfRule>
  </conditionalFormatting>
  <conditionalFormatting sqref="E8:AA32">
    <cfRule type="cellIs" dxfId="5" priority="10" operator="equal">
      <formula>"E"</formula>
    </cfRule>
  </conditionalFormatting>
  <conditionalFormatting sqref="E8:AA32">
    <cfRule type="cellIs" dxfId="10" priority="11" operator="equal">
      <formula>"L"</formula>
    </cfRule>
  </conditionalFormatting>
  <conditionalFormatting sqref="E8:AA32">
    <cfRule type="cellIs" dxfId="11" priority="12" operator="equal">
      <formula>"A"</formula>
    </cfRule>
  </conditionalFormatting>
  <conditionalFormatting sqref="Y1">
    <cfRule type="notContainsBlanks" dxfId="12" priority="13">
      <formula>LEN(TRIM(Y1))&gt;0</formula>
    </cfRule>
  </conditionalFormatting>
  <conditionalFormatting sqref="Q3">
    <cfRule type="colorScale" priority="14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2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46174.0</v>
      </c>
      <c r="F7" s="40">
        <v>46175.0</v>
      </c>
      <c r="G7" s="40">
        <v>46176.0</v>
      </c>
      <c r="H7" s="56">
        <v>46177.0</v>
      </c>
      <c r="I7" s="40">
        <v>46178.0</v>
      </c>
      <c r="J7" s="40">
        <v>46181.0</v>
      </c>
      <c r="K7" s="40">
        <v>46182.0</v>
      </c>
      <c r="L7" s="40">
        <v>46183.0</v>
      </c>
      <c r="M7" s="40">
        <v>46184.0</v>
      </c>
      <c r="N7" s="40">
        <v>46185.0</v>
      </c>
      <c r="O7" s="40">
        <v>46188.0</v>
      </c>
      <c r="P7" s="40">
        <v>46189.0</v>
      </c>
      <c r="Q7" s="40">
        <v>46190.0</v>
      </c>
      <c r="R7" s="40">
        <v>46191.0</v>
      </c>
      <c r="S7" s="40">
        <v>46192.0</v>
      </c>
      <c r="T7" s="40">
        <v>46195.0</v>
      </c>
      <c r="U7" s="40">
        <v>46196.0</v>
      </c>
      <c r="V7" s="40">
        <v>46197.0</v>
      </c>
      <c r="W7" s="40">
        <v>46198.0</v>
      </c>
      <c r="X7" s="40">
        <v>46199.0</v>
      </c>
      <c r="Y7" s="40">
        <v>46202.0</v>
      </c>
      <c r="Z7" s="40">
        <v>46203.0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 t="s">
        <v>16</v>
      </c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 t="s">
        <v>16</v>
      </c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 t="s">
        <v>16</v>
      </c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 t="s">
        <v>16</v>
      </c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 t="s">
        <v>16</v>
      </c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 t="s">
        <v>16</v>
      </c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 t="s">
        <v>16</v>
      </c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 t="s">
        <v>16</v>
      </c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 t="s">
        <v>16</v>
      </c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 t="s">
        <v>16</v>
      </c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 t="s">
        <v>16</v>
      </c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s">
        <v>16</v>
      </c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 t="s">
        <v>16</v>
      </c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 t="s">
        <v>16</v>
      </c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 t="s">
        <v>16</v>
      </c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 t="s">
        <v>16</v>
      </c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 t="s">
        <v>16</v>
      </c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 t="s">
        <v>16</v>
      </c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 t="s">
        <v>16</v>
      </c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 t="s">
        <v>16</v>
      </c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46204.0</v>
      </c>
      <c r="F7" s="40">
        <v>46205.0</v>
      </c>
      <c r="G7" s="40">
        <v>46206.0</v>
      </c>
      <c r="H7" s="40">
        <v>46209.0</v>
      </c>
      <c r="I7" s="40">
        <v>46210.0</v>
      </c>
      <c r="J7" s="40">
        <v>46211.0</v>
      </c>
      <c r="K7" s="40">
        <v>46212.0</v>
      </c>
      <c r="L7" s="40">
        <v>46213.0</v>
      </c>
      <c r="M7" s="40">
        <v>46216.0</v>
      </c>
      <c r="N7" s="40">
        <v>46217.0</v>
      </c>
      <c r="O7" s="40">
        <v>46218.0</v>
      </c>
      <c r="P7" s="40">
        <v>46219.0</v>
      </c>
      <c r="Q7" s="40">
        <v>46220.0</v>
      </c>
      <c r="R7" s="40">
        <v>46223.0</v>
      </c>
      <c r="S7" s="40">
        <v>46224.0</v>
      </c>
      <c r="T7" s="40">
        <v>46225.0</v>
      </c>
      <c r="U7" s="40">
        <v>46226.0</v>
      </c>
      <c r="V7" s="40">
        <v>46227.0</v>
      </c>
      <c r="W7" s="40">
        <v>46230.0</v>
      </c>
      <c r="X7" s="40">
        <v>46231.0</v>
      </c>
      <c r="Y7" s="40">
        <v>46232.0</v>
      </c>
      <c r="Z7" s="40">
        <v>46233.0</v>
      </c>
      <c r="AA7" s="40">
        <v>45869.0</v>
      </c>
    </row>
    <row r="8" ht="15.0" customHeight="1">
      <c r="A8" s="41"/>
      <c r="B8" s="41"/>
      <c r="C8" s="42"/>
      <c r="D8" s="42"/>
      <c r="E8" s="42"/>
      <c r="F8" s="42"/>
      <c r="G8" s="42" t="s">
        <v>16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 t="s">
        <v>16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 t="s">
        <v>16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 t="s">
        <v>16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 t="s">
        <v>16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 t="s">
        <v>16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 t="s">
        <v>16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 t="s">
        <v>16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 t="s">
        <v>16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 t="s">
        <v>16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 t="s">
        <v>16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 t="s">
        <v>16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 t="s">
        <v>16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 t="s">
        <v>16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 t="s">
        <v>16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 t="s">
        <v>16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 t="s">
        <v>16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 t="s">
        <v>16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 t="s">
        <v>16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 t="s">
        <v>16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F28" si="2">IF((COUNTIF(E8:E27,"*P*") + COUNTIF(E8:E27, "*L*")) &gt;= 0, COUNTIF(E8:E27,"*P*") + COUNTIF(E8:E27, "*L*"), "")</f>
        <v>0</v>
      </c>
      <c r="F28" s="49">
        <f t="shared" si="2"/>
        <v>0</v>
      </c>
      <c r="G28" s="49">
        <f>IF((COUNTIF(#REF!,"*P*") + COUNTIF(#REF!, "*L*")) &gt;= 0, COUNTIF(#REF!,"*P*") + COUNTIF(#REF!, "*L*"), "")</f>
        <v>0</v>
      </c>
      <c r="H28" s="49">
        <f>IF((COUNTIF(G8:G27,"*P*") + COUNTIF(G8:G27, "*L*")) &gt;= 0, COUNTIF(G8:G27,"*P*") + COUNTIF(G8:G27, "*L*"), "")</f>
        <v>0</v>
      </c>
      <c r="I28" s="49">
        <f t="shared" ref="I28:AA28" si="3">IF((COUNTIF(I8:I27,"*P*") + COUNTIF(I8:I27, "*L*")) &gt;= 0, COUNTIF(I8:I27,"*P*") + COUNTIF(I8:I27, "*L*"), "")</f>
        <v>0</v>
      </c>
      <c r="J28" s="49">
        <f t="shared" si="3"/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  <c r="AA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F29" si="4">IF((COUNTIF(E8:E27,"*A*") + COUNTIF(E8:E27, "*E*")) &gt;= 0, COUNTIF(E8:E27,"*A*") + COUNTIF(E8:E27, "*E*"), "")</f>
        <v>0</v>
      </c>
      <c r="F29" s="54">
        <f t="shared" si="4"/>
        <v>0</v>
      </c>
      <c r="G29" s="54">
        <f>IF((COUNTIF(#REF!,"*A*") + COUNTIF(#REF!, "*E*")) &gt;= 0, COUNTIF(#REF!,"*A*") + COUNTIF(#REF!, "*E*"), "")</f>
        <v>0</v>
      </c>
      <c r="H29" s="54">
        <f>IF((COUNTIF(G8:G27,"*A*") + COUNTIF(G8:G27, "*E*")) &gt;= 0, COUNTIF(G8:G27,"*A*") + COUNTIF(G8:G27, "*E*"), "")</f>
        <v>0</v>
      </c>
      <c r="I29" s="54">
        <f t="shared" ref="I29:AA29" si="5">IF((COUNTIF(I8:I27,"*A*") + COUNTIF(I8:I27, "*E*")) &gt;= 0, COUNTIF(I8:I27,"*A*") + COUNTIF(I8:I27, "*E*"), "")</f>
        <v>0</v>
      </c>
      <c r="J29" s="54">
        <f t="shared" si="5"/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  <c r="AA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  <c r="AA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46237.0</v>
      </c>
      <c r="F7" s="40">
        <v>45873.0</v>
      </c>
      <c r="G7" s="40">
        <v>45874.0</v>
      </c>
      <c r="H7" s="40">
        <v>45875.0</v>
      </c>
      <c r="I7" s="40">
        <v>45876.0</v>
      </c>
      <c r="J7" s="40">
        <v>46244.0</v>
      </c>
      <c r="K7" s="40">
        <v>45880.0</v>
      </c>
      <c r="L7" s="40">
        <v>45881.0</v>
      </c>
      <c r="M7" s="40">
        <v>45882.0</v>
      </c>
      <c r="N7" s="40">
        <v>45883.0</v>
      </c>
      <c r="O7" s="40">
        <v>46251.0</v>
      </c>
      <c r="P7" s="40">
        <v>45887.0</v>
      </c>
      <c r="Q7" s="40">
        <v>45888.0</v>
      </c>
      <c r="R7" s="40">
        <v>45889.0</v>
      </c>
      <c r="S7" s="40">
        <v>45890.0</v>
      </c>
      <c r="T7" s="40">
        <v>46258.0</v>
      </c>
      <c r="U7" s="40">
        <v>45894.0</v>
      </c>
      <c r="V7" s="40">
        <v>45895.0</v>
      </c>
      <c r="W7" s="40">
        <v>45896.0</v>
      </c>
      <c r="X7" s="40">
        <v>45897.0</v>
      </c>
      <c r="Y7" s="40">
        <v>46265.0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30.0" customHeight="1">
      <c r="A28" s="46"/>
      <c r="B28" s="46"/>
      <c r="C28" s="47"/>
      <c r="D28" s="48" t="s">
        <v>94</v>
      </c>
      <c r="E28" s="49">
        <f t="shared" ref="E28:Y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Y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Y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SUM(E28:Z28)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sum(E30:Z30)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45901.0</v>
      </c>
      <c r="F7" s="40">
        <v>45902.0</v>
      </c>
      <c r="G7" s="40">
        <v>45903.0</v>
      </c>
      <c r="H7" s="40">
        <v>45904.0</v>
      </c>
      <c r="I7" s="40">
        <v>46272.0</v>
      </c>
      <c r="J7" s="40">
        <v>45908.0</v>
      </c>
      <c r="K7" s="40">
        <v>45909.0</v>
      </c>
      <c r="L7" s="40">
        <v>45910.0</v>
      </c>
      <c r="M7" s="40">
        <v>45911.0</v>
      </c>
      <c r="N7" s="40">
        <v>46279.0</v>
      </c>
      <c r="O7" s="40">
        <v>45915.0</v>
      </c>
      <c r="P7" s="40">
        <v>45916.0</v>
      </c>
      <c r="Q7" s="40">
        <v>45917.0</v>
      </c>
      <c r="R7" s="40">
        <v>45918.0</v>
      </c>
      <c r="S7" s="40">
        <v>46286.0</v>
      </c>
      <c r="T7" s="40">
        <v>45922.0</v>
      </c>
      <c r="U7" s="40">
        <v>45923.0</v>
      </c>
      <c r="V7" s="40">
        <v>45924.0</v>
      </c>
      <c r="W7" s="40">
        <v>45925.0</v>
      </c>
      <c r="X7" s="40">
        <v>46293.0</v>
      </c>
      <c r="Y7" s="40">
        <v>45929.0</v>
      </c>
      <c r="Z7" s="40">
        <v>45930.0</v>
      </c>
    </row>
    <row r="8" ht="15.0" customHeight="1">
      <c r="A8" s="41"/>
      <c r="B8" s="41"/>
      <c r="C8" s="42"/>
      <c r="D8" s="42"/>
      <c r="F8" s="42"/>
      <c r="G8" s="42"/>
      <c r="H8" s="42"/>
      <c r="I8" s="42" t="s">
        <v>16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41"/>
      <c r="B9" s="41"/>
      <c r="C9" s="42"/>
      <c r="D9" s="42"/>
      <c r="F9" s="42"/>
      <c r="G9" s="42"/>
      <c r="H9" s="42"/>
      <c r="I9" s="42" t="s">
        <v>16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0" customHeight="1">
      <c r="A10" s="41"/>
      <c r="B10" s="41"/>
      <c r="C10" s="42"/>
      <c r="D10" s="42"/>
      <c r="F10" s="42"/>
      <c r="G10" s="42"/>
      <c r="H10" s="42"/>
      <c r="I10" s="42" t="s">
        <v>16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0" customHeight="1">
      <c r="A11" s="41"/>
      <c r="B11" s="41"/>
      <c r="C11" s="42"/>
      <c r="D11" s="42"/>
      <c r="F11" s="42"/>
      <c r="G11" s="42"/>
      <c r="H11" s="42"/>
      <c r="I11" s="42" t="s">
        <v>16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0" customHeight="1">
      <c r="A12" s="41"/>
      <c r="B12" s="41"/>
      <c r="C12" s="42"/>
      <c r="D12" s="42"/>
      <c r="F12" s="42"/>
      <c r="G12" s="42"/>
      <c r="H12" s="42"/>
      <c r="I12" s="42" t="s">
        <v>16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0" customHeight="1">
      <c r="A13" s="41"/>
      <c r="B13" s="41"/>
      <c r="C13" s="42"/>
      <c r="D13" s="42"/>
      <c r="F13" s="42"/>
      <c r="G13" s="42"/>
      <c r="H13" s="42"/>
      <c r="I13" s="42" t="s">
        <v>16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0" customHeight="1">
      <c r="A14" s="41"/>
      <c r="B14" s="41"/>
      <c r="C14" s="42"/>
      <c r="D14" s="42"/>
      <c r="F14" s="42"/>
      <c r="G14" s="42"/>
      <c r="H14" s="42"/>
      <c r="I14" s="42" t="s">
        <v>16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0" customHeight="1">
      <c r="A15" s="41"/>
      <c r="B15" s="41"/>
      <c r="C15" s="42"/>
      <c r="D15" s="42"/>
      <c r="F15" s="42"/>
      <c r="G15" s="42"/>
      <c r="H15" s="42"/>
      <c r="I15" s="42" t="s">
        <v>16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0" customHeight="1">
      <c r="A16" s="41"/>
      <c r="B16" s="41"/>
      <c r="C16" s="42"/>
      <c r="D16" s="42"/>
      <c r="F16" s="42"/>
      <c r="G16" s="42"/>
      <c r="H16" s="42"/>
      <c r="I16" s="42" t="s">
        <v>16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0" customHeight="1">
      <c r="A17" s="41"/>
      <c r="B17" s="41"/>
      <c r="C17" s="42"/>
      <c r="D17" s="42"/>
      <c r="F17" s="42"/>
      <c r="G17" s="42"/>
      <c r="H17" s="42"/>
      <c r="I17" s="42" t="s">
        <v>16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0" customHeight="1">
      <c r="A18" s="41"/>
      <c r="B18" s="41"/>
      <c r="C18" s="42"/>
      <c r="D18" s="42"/>
      <c r="F18" s="42"/>
      <c r="G18" s="42"/>
      <c r="H18" s="42"/>
      <c r="I18" s="42" t="s">
        <v>16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0" customHeight="1">
      <c r="A19" s="41"/>
      <c r="B19" s="41"/>
      <c r="C19" s="42"/>
      <c r="D19" s="42"/>
      <c r="F19" s="42"/>
      <c r="G19" s="42"/>
      <c r="H19" s="42"/>
      <c r="I19" s="42" t="s">
        <v>16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0" customHeight="1">
      <c r="A20" s="41"/>
      <c r="B20" s="41"/>
      <c r="C20" s="42"/>
      <c r="D20" s="42"/>
      <c r="F20" s="42"/>
      <c r="G20" s="42"/>
      <c r="H20" s="42"/>
      <c r="I20" s="42" t="s">
        <v>16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0" customHeight="1">
      <c r="A21" s="41"/>
      <c r="B21" s="41"/>
      <c r="C21" s="42"/>
      <c r="D21" s="42"/>
      <c r="F21" s="42"/>
      <c r="G21" s="42"/>
      <c r="H21" s="42"/>
      <c r="I21" s="42" t="s">
        <v>16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0" customHeight="1">
      <c r="A22" s="41"/>
      <c r="B22" s="41"/>
      <c r="C22" s="42"/>
      <c r="D22" s="42"/>
      <c r="F22" s="42"/>
      <c r="G22" s="42"/>
      <c r="H22" s="42"/>
      <c r="I22" s="42" t="s">
        <v>16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0" customHeight="1">
      <c r="A23" s="41"/>
      <c r="B23" s="41"/>
      <c r="C23" s="42"/>
      <c r="D23" s="42"/>
      <c r="F23" s="42"/>
      <c r="G23" s="42"/>
      <c r="H23" s="42"/>
      <c r="I23" s="42" t="s">
        <v>16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0" customHeight="1">
      <c r="A24" s="41"/>
      <c r="B24" s="41"/>
      <c r="C24" s="42"/>
      <c r="D24" s="42"/>
      <c r="F24" s="42"/>
      <c r="G24" s="42"/>
      <c r="H24" s="42"/>
      <c r="I24" s="42" t="s">
        <v>16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0" customHeight="1">
      <c r="A25" s="44"/>
      <c r="B25" s="44"/>
      <c r="C25" s="45"/>
      <c r="D25" s="42"/>
      <c r="F25" s="42"/>
      <c r="G25" s="42"/>
      <c r="H25" s="42"/>
      <c r="I25" s="42" t="s">
        <v>16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0" customHeight="1">
      <c r="A26" s="44"/>
      <c r="B26" s="44"/>
      <c r="C26" s="45"/>
      <c r="D26" s="45"/>
      <c r="F26" s="42"/>
      <c r="G26" s="42"/>
      <c r="H26" s="42"/>
      <c r="I26" s="42" t="s">
        <v>16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0" customHeight="1">
      <c r="A27" s="44"/>
      <c r="B27" s="44"/>
      <c r="C27" s="45"/>
      <c r="D27" s="45"/>
      <c r="F27" s="42"/>
      <c r="G27" s="42"/>
      <c r="H27" s="42"/>
      <c r="I27" s="42" t="s">
        <v>16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30.0" customHeight="1">
      <c r="A28" s="46"/>
      <c r="B28" s="46"/>
      <c r="C28" s="47"/>
      <c r="D28" s="48" t="s">
        <v>94</v>
      </c>
      <c r="E28" s="49">
        <f>IF((COUNTIF(I8:I27,"*P*") + COUNTIF(I8:I27, "*L*")) &gt;= 0, COUNTIF(I8:I27,"*P*") + COUNTIF(I8:I27, "*L*"), "")</f>
        <v>0</v>
      </c>
      <c r="F28" s="49">
        <f t="shared" ref="F28:H28" si="2">IF((COUNTIF(F8:F27,"*P*") + COUNTIF(F8:F27, "*L*")) &gt;= 0, COUNTIF(F8:F27,"*P*") + COUNTIF(F8:F27, "*L*"), "")</f>
        <v>0</v>
      </c>
      <c r="G28" s="49">
        <f t="shared" si="2"/>
        <v>0</v>
      </c>
      <c r="H28" s="49">
        <f t="shared" si="2"/>
        <v>0</v>
      </c>
      <c r="I28" s="49">
        <f>IF((COUNTIF(#REF!,"*P*") + COUNTIF(#REF!, "*L*")) &gt;= 0, COUNTIF(#REF!,"*P*") + COUNTIF(#REF!, "*L*"), "")</f>
        <v>0</v>
      </c>
      <c r="J28" s="49">
        <f t="shared" ref="J28:Z28" si="3">IF((COUNTIF(J8:J27,"*P*") + COUNTIF(J8:J27, "*L*")) &gt;= 0, COUNTIF(J8:J27,"*P*") + COUNTIF(J8:J27, "*L*"), "")</f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>IF((COUNTIF(I8:I27,"*A*") + COUNTIF(I8:I27, "*E*")) &gt;= 0, COUNTIF(I8:I27,"*A*") + COUNTIF(I8:I27, "*E*"), "")</f>
        <v>0</v>
      </c>
      <c r="F29" s="54">
        <f t="shared" ref="F29:H29" si="4">IF((COUNTIF(F8:F27,"*A*") + COUNTIF(F8:F27, "*E*")) &gt;= 0, COUNTIF(F8:F27,"*A*") + COUNTIF(F8:F27, "*E*"), "")</f>
        <v>0</v>
      </c>
      <c r="G29" s="54">
        <f t="shared" si="4"/>
        <v>0</v>
      </c>
      <c r="H29" s="54">
        <f t="shared" si="4"/>
        <v>0</v>
      </c>
      <c r="I29" s="54">
        <f>IF((COUNTIF(#REF!,"*A*") + COUNTIF(#REF!, "*E*")) &gt;= 0, COUNTIF(#REF!,"*A*") + COUNTIF(#REF!, "*E*"), "")</f>
        <v>0</v>
      </c>
      <c r="J29" s="54">
        <f t="shared" ref="J29:Z29" si="5">IF((COUNTIF(J8:J27,"*A*") + COUNTIF(J8:J27, "*E*")) &gt;= 0, COUNTIF(J8:J27,"*A*") + COUNTIF(J8:J27, "*E*"), "")</f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Z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45931.0</v>
      </c>
      <c r="F7" s="40">
        <v>45932.0</v>
      </c>
      <c r="G7" s="40">
        <v>46300.0</v>
      </c>
      <c r="H7" s="40">
        <v>45936.0</v>
      </c>
      <c r="I7" s="40">
        <v>45937.0</v>
      </c>
      <c r="J7" s="40">
        <v>45938.0</v>
      </c>
      <c r="K7" s="40">
        <v>45939.0</v>
      </c>
      <c r="L7" s="40">
        <v>46307.0</v>
      </c>
      <c r="M7" s="40">
        <v>45943.0</v>
      </c>
      <c r="N7" s="40">
        <v>45944.0</v>
      </c>
      <c r="O7" s="40">
        <v>45945.0</v>
      </c>
      <c r="P7" s="40">
        <v>45946.0</v>
      </c>
      <c r="Q7" s="40">
        <v>46314.0</v>
      </c>
      <c r="R7" s="40">
        <v>45950.0</v>
      </c>
      <c r="S7" s="40">
        <v>45951.0</v>
      </c>
      <c r="T7" s="40">
        <v>45952.0</v>
      </c>
      <c r="U7" s="40">
        <v>45953.0</v>
      </c>
      <c r="V7" s="40">
        <v>46321.0</v>
      </c>
      <c r="W7" s="40">
        <v>45957.0</v>
      </c>
      <c r="X7" s="40">
        <v>45958.0</v>
      </c>
      <c r="Y7" s="40">
        <v>45959.0</v>
      </c>
      <c r="Z7" s="40">
        <v>45960.0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46328.0</v>
      </c>
      <c r="F7" s="40">
        <v>46329.0</v>
      </c>
      <c r="G7" s="40">
        <v>46330.0</v>
      </c>
      <c r="H7" s="40">
        <v>46331.0</v>
      </c>
      <c r="I7" s="40">
        <v>46332.0</v>
      </c>
      <c r="J7" s="40">
        <v>46335.0</v>
      </c>
      <c r="K7" s="40">
        <v>46336.0</v>
      </c>
      <c r="L7" s="40">
        <v>46337.0</v>
      </c>
      <c r="M7" s="40">
        <v>46338.0</v>
      </c>
      <c r="N7" s="40">
        <v>46339.0</v>
      </c>
      <c r="O7" s="40">
        <v>46342.0</v>
      </c>
      <c r="P7" s="40">
        <v>46343.0</v>
      </c>
      <c r="Q7" s="40">
        <v>46344.0</v>
      </c>
      <c r="R7" s="40">
        <v>46345.0</v>
      </c>
      <c r="S7" s="40">
        <v>46346.0</v>
      </c>
      <c r="T7" s="40">
        <v>46349.0</v>
      </c>
      <c r="U7" s="40">
        <v>46350.0</v>
      </c>
      <c r="V7" s="40">
        <v>46351.0</v>
      </c>
      <c r="W7" s="40">
        <v>46352.0</v>
      </c>
      <c r="X7" s="40">
        <v>46353.0</v>
      </c>
      <c r="Y7" s="40">
        <v>46356.0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L8" s="42" t="s">
        <v>16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 t="s">
        <v>16</v>
      </c>
      <c r="X8" s="42" t="s">
        <v>16</v>
      </c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L9" s="42" t="s">
        <v>16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 t="s">
        <v>16</v>
      </c>
      <c r="X9" s="42" t="s">
        <v>16</v>
      </c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L10" s="42" t="s">
        <v>16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 t="s">
        <v>16</v>
      </c>
      <c r="X10" s="42" t="s">
        <v>16</v>
      </c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L11" s="42" t="s">
        <v>16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 t="s">
        <v>16</v>
      </c>
      <c r="X11" s="42" t="s">
        <v>16</v>
      </c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L12" s="42" t="s">
        <v>16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 t="s">
        <v>16</v>
      </c>
      <c r="X12" s="42" t="s">
        <v>16</v>
      </c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L13" s="42" t="s">
        <v>16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 t="s">
        <v>16</v>
      </c>
      <c r="X13" s="42" t="s">
        <v>16</v>
      </c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L14" s="42" t="s">
        <v>16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 t="s">
        <v>16</v>
      </c>
      <c r="X14" s="42" t="s">
        <v>16</v>
      </c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L15" s="42" t="s">
        <v>16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 t="s">
        <v>16</v>
      </c>
      <c r="X15" s="42" t="s">
        <v>16</v>
      </c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L16" s="42" t="s">
        <v>16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 t="s">
        <v>16</v>
      </c>
      <c r="X16" s="42" t="s">
        <v>16</v>
      </c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L17" s="42" t="s">
        <v>16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 t="s">
        <v>16</v>
      </c>
      <c r="X17" s="42" t="s">
        <v>16</v>
      </c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L18" s="42" t="s">
        <v>16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 t="s">
        <v>16</v>
      </c>
      <c r="X18" s="42" t="s">
        <v>16</v>
      </c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L19" s="42" t="s">
        <v>16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 t="s">
        <v>16</v>
      </c>
      <c r="X19" s="42" t="s">
        <v>16</v>
      </c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L20" s="42" t="s">
        <v>16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 t="s">
        <v>16</v>
      </c>
      <c r="X20" s="42" t="s">
        <v>16</v>
      </c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L21" s="42" t="s">
        <v>16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 t="s">
        <v>16</v>
      </c>
      <c r="X21" s="42" t="s">
        <v>16</v>
      </c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L22" s="42" t="s">
        <v>16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 t="s">
        <v>16</v>
      </c>
      <c r="X22" s="42" t="s">
        <v>16</v>
      </c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L23" s="42" t="s">
        <v>16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 t="s">
        <v>16</v>
      </c>
      <c r="X23" s="42" t="s">
        <v>16</v>
      </c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L24" s="42" t="s">
        <v>16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s">
        <v>16</v>
      </c>
      <c r="X24" s="42" t="s">
        <v>16</v>
      </c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L25" s="42" t="s">
        <v>16</v>
      </c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 t="s">
        <v>16</v>
      </c>
      <c r="X25" s="42" t="s">
        <v>16</v>
      </c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L26" s="42" t="s">
        <v>16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 t="s">
        <v>16</v>
      </c>
      <c r="X26" s="42" t="s">
        <v>16</v>
      </c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L27" s="42" t="s">
        <v>16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 t="s">
        <v>16</v>
      </c>
      <c r="X27" s="42" t="s">
        <v>16</v>
      </c>
      <c r="Y27" s="42"/>
    </row>
    <row r="28" ht="30.0" customHeight="1">
      <c r="A28" s="46"/>
      <c r="B28" s="46"/>
      <c r="C28" s="47"/>
      <c r="D28" s="48" t="s">
        <v>94</v>
      </c>
      <c r="E28" s="49">
        <f t="shared" ref="E28:J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>IF((COUNTIF(L8:L27,"*P*") + COUNTIF(L8:L27, "*L*")) &gt;= 0, COUNTIF(L8:L27,"*P*") + COUNTIF(L8:L27, "*L*"), "")</f>
        <v>0</v>
      </c>
      <c r="L28" s="49">
        <f>IF((COUNTIF(#REF!,"*P*") + COUNTIF(#REF!, "*L*")) &gt;= 0, COUNTIF(#REF!,"*P*") + COUNTIF(#REF!, "*L*"), "")</f>
        <v>0</v>
      </c>
      <c r="M28" s="49">
        <f t="shared" ref="M28:W28" si="3">IF((COUNTIF(M8:M27,"*P*") + COUNTIF(M8:M27, "*L*")) &gt;= 0, COUNTIF(M8:M27,"*P*") + COUNTIF(M8:M27, "*L*"), "")</f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/>
      <c r="Y28" s="49">
        <f>IF((COUNTIF(Y8:Y27,"*P*") + COUNTIF(Y8:Y27, "*L*")) &gt;= 0, COUNTIF(Y8:Y27,"*P*") + COUNTIF(Y8:Y27, "*L*"), "")</f>
        <v>0</v>
      </c>
    </row>
    <row r="29" ht="30.0" customHeight="1">
      <c r="A29" s="50"/>
      <c r="B29" s="51"/>
      <c r="C29" s="52"/>
      <c r="D29" s="53" t="s">
        <v>95</v>
      </c>
      <c r="E29" s="54">
        <f t="shared" ref="E29:J29" si="4">IF((COUNTIF(E8:E27,"*A*") + COUNTIF(E8:E27, "*E*")) &gt;= 0, COUNTIF(E8:E27,"*A*") + COUNTIF(E8:E27, "*E*"), "")</f>
        <v>0</v>
      </c>
      <c r="F29" s="54">
        <f t="shared" si="4"/>
        <v>0</v>
      </c>
      <c r="G29" s="54">
        <f t="shared" si="4"/>
        <v>0</v>
      </c>
      <c r="H29" s="54">
        <f t="shared" si="4"/>
        <v>0</v>
      </c>
      <c r="I29" s="54">
        <f t="shared" si="4"/>
        <v>0</v>
      </c>
      <c r="J29" s="54">
        <f t="shared" si="4"/>
        <v>0</v>
      </c>
      <c r="K29" s="54">
        <f>IF((COUNTIF(L8:L27,"*A*") + COUNTIF(L8:L27, "*E*")) &gt;= 0, COUNTIF(L8:L27,"*A*") + COUNTIF(L8:L27, "*E*"), "")</f>
        <v>0</v>
      </c>
      <c r="L29" s="54">
        <f>IF((COUNTIF(#REF!,"*A*") + COUNTIF(#REF!, "*E*")) &gt;= 0, COUNTIF(#REF!,"*A*") + COUNTIF(#REF!, "*E*"), "")</f>
        <v>0</v>
      </c>
      <c r="M29" s="54">
        <f t="shared" ref="M29:W29" si="5">IF((COUNTIF(M8:M27,"*A*") + COUNTIF(M8:M27, "*E*")) &gt;= 0, COUNTIF(M8:M27,"*A*") + COUNTIF(M8:M27, "*E*"), "")</f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/>
      <c r="Y29" s="54">
        <f>IF((COUNTIF(Y8:Y27,"*A*") + COUNTIF(Y8:Y27, "*E*")) &gt;= 0, COUNTIF(Y8:Y27,"*A*") + COUNTIF(Y8:Y27, "*E*"), "")</f>
        <v>0</v>
      </c>
    </row>
    <row r="30" ht="30.0" customHeight="1">
      <c r="A30" s="50"/>
      <c r="B30" s="51"/>
      <c r="C30" s="52"/>
      <c r="D30" s="53" t="s">
        <v>49</v>
      </c>
      <c r="E30" s="55">
        <f t="shared" ref="E30:W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/>
      <c r="Y30" s="55">
        <f>SUM(Y28+Y29)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45992.0</v>
      </c>
      <c r="F7" s="40">
        <v>45993.0</v>
      </c>
      <c r="G7" s="40">
        <v>45994.0</v>
      </c>
      <c r="H7" s="40">
        <v>45995.0</v>
      </c>
      <c r="I7" s="40">
        <v>46363.0</v>
      </c>
      <c r="J7" s="40">
        <v>45999.0</v>
      </c>
      <c r="K7" s="40">
        <v>46000.0</v>
      </c>
      <c r="L7" s="40">
        <v>46001.0</v>
      </c>
      <c r="M7" s="40">
        <v>46002.0</v>
      </c>
      <c r="N7" s="40">
        <v>46370.0</v>
      </c>
      <c r="O7" s="40">
        <v>46006.0</v>
      </c>
      <c r="P7" s="40">
        <v>46007.0</v>
      </c>
      <c r="Q7" s="40">
        <v>46008.0</v>
      </c>
      <c r="R7" s="40">
        <v>46009.0</v>
      </c>
      <c r="S7" s="56">
        <v>46377.0</v>
      </c>
      <c r="T7" s="40">
        <v>46013.0</v>
      </c>
      <c r="U7" s="40">
        <v>46014.0</v>
      </c>
      <c r="V7" s="40">
        <v>46015.0</v>
      </c>
      <c r="W7" s="40">
        <v>46016.0</v>
      </c>
      <c r="X7" s="40">
        <v>46384.0</v>
      </c>
      <c r="Y7" s="40">
        <v>46020.0</v>
      </c>
      <c r="Z7" s="40">
        <v>46021.0</v>
      </c>
      <c r="AA7" s="40">
        <v>46022.0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 t="s">
        <v>16</v>
      </c>
      <c r="W8" s="42" t="s">
        <v>16</v>
      </c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 t="s">
        <v>16</v>
      </c>
      <c r="W9" s="42" t="s">
        <v>16</v>
      </c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 t="s">
        <v>16</v>
      </c>
      <c r="W10" s="42" t="s">
        <v>16</v>
      </c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 t="s">
        <v>16</v>
      </c>
      <c r="W11" s="42" t="s">
        <v>16</v>
      </c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 t="s">
        <v>16</v>
      </c>
      <c r="W12" s="42" t="s">
        <v>16</v>
      </c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 t="s">
        <v>16</v>
      </c>
      <c r="W13" s="42" t="s">
        <v>16</v>
      </c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 t="s">
        <v>16</v>
      </c>
      <c r="W14" s="42" t="s">
        <v>16</v>
      </c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 t="s">
        <v>16</v>
      </c>
      <c r="W15" s="42" t="s">
        <v>16</v>
      </c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 t="s">
        <v>16</v>
      </c>
      <c r="W16" s="42" t="s">
        <v>16</v>
      </c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 t="s">
        <v>16</v>
      </c>
      <c r="W17" s="42" t="s">
        <v>16</v>
      </c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 t="s">
        <v>16</v>
      </c>
      <c r="W18" s="42" t="s">
        <v>16</v>
      </c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s">
        <v>16</v>
      </c>
      <c r="W19" s="42" t="s">
        <v>16</v>
      </c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s">
        <v>16</v>
      </c>
      <c r="W20" s="42" t="s">
        <v>16</v>
      </c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 t="s">
        <v>16</v>
      </c>
      <c r="W21" s="42" t="s">
        <v>16</v>
      </c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 t="s">
        <v>16</v>
      </c>
      <c r="W22" s="42" t="s">
        <v>16</v>
      </c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s">
        <v>16</v>
      </c>
      <c r="W23" s="42" t="s">
        <v>16</v>
      </c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 t="s">
        <v>16</v>
      </c>
      <c r="W24" s="42" t="s">
        <v>16</v>
      </c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 t="s">
        <v>16</v>
      </c>
      <c r="W25" s="42" t="s">
        <v>16</v>
      </c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 t="s">
        <v>16</v>
      </c>
      <c r="W26" s="42" t="s">
        <v>16</v>
      </c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 t="s">
        <v>16</v>
      </c>
      <c r="W27" s="42" t="s">
        <v>16</v>
      </c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