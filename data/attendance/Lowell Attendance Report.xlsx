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6" sheetId="14" r:id="rId18"/>
    <sheet state="visible" name="December 2026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In between Cohorts. 
</t>
      </text>
    </comment>
    <comment authorId="0" ref="G8">
      <text>
        <t xml:space="preserve">In between Cohorts. 
</t>
      </text>
    </comment>
    <comment authorId="0" ref="H8">
      <text>
        <t xml:space="preserve">In between Cohorts. 
</t>
      </text>
    </comment>
    <comment authorId="0" ref="I8">
      <text>
        <t xml:space="preserve">In between Cohorts. 
</t>
      </text>
    </comment>
    <comment authorId="0" ref="J8">
      <text>
        <t xml:space="preserve">In between Cohorts. 
</t>
      </text>
    </comment>
    <comment authorId="0" ref="K8">
      <text>
        <t xml:space="preserve">In between Cohorts. 
</t>
      </text>
    </comment>
    <comment authorId="0" ref="L8">
      <text>
        <t xml:space="preserve">In between Cohorts. 
</t>
      </text>
    </comment>
    <comment authorId="0" ref="M8">
      <text>
        <t xml:space="preserve">In between Cohorts. 
</t>
      </text>
    </comment>
    <comment authorId="0" ref="N8">
      <text>
        <t xml:space="preserve">In between Cohorts. 
</t>
      </text>
    </comment>
    <comment authorId="0" ref="O8">
      <text>
        <t xml:space="preserve">In between Cohorts. 
</t>
      </text>
    </comment>
    <comment authorId="0" ref="P8">
      <text>
        <t xml:space="preserve">In between Cohorts. 
</t>
      </text>
    </comment>
    <comment authorId="0" ref="R8">
      <text>
        <t xml:space="preserve">In between Cohorts. 
</t>
      </text>
    </comment>
    <comment authorId="0" ref="S8">
      <text>
        <t xml:space="preserve">In between Cohorts. 
</t>
      </text>
    </comment>
    <comment authorId="0" ref="T8">
      <text>
        <t xml:space="preserve">In between Cohorts. 
</t>
      </text>
    </comment>
    <comment authorId="0" ref="U8">
      <text>
        <t xml:space="preserve">In between Cohorts. 
</t>
      </text>
    </comment>
    <comment authorId="0" ref="V8">
      <text>
        <t xml:space="preserve">In between Cohorts. 
</t>
      </text>
    </comment>
    <comment authorId="0" ref="W8">
      <text>
        <t xml:space="preserve">In between Cohorts. 
</t>
      </text>
    </comment>
    <comment authorId="0" ref="X8">
      <text>
        <t xml:space="preserve">In between Cohorts. 
</t>
      </text>
    </comment>
    <comment authorId="0" ref="Y8">
      <text>
        <t xml:space="preserve">In between Cohorts. 
</t>
      </text>
    </comment>
    <comment authorId="0" ref="Z8">
      <text>
        <t xml:space="preserve">In between Cohorts. 
</t>
      </text>
    </comment>
    <comment authorId="0" ref="F9">
      <text>
        <t xml:space="preserve">In between Cohorts. 
</t>
      </text>
    </comment>
    <comment authorId="0" ref="G9">
      <text>
        <t xml:space="preserve">In between Cohorts. 
</t>
      </text>
    </comment>
    <comment authorId="0" ref="H9">
      <text>
        <t xml:space="preserve">In between Cohorts. 
</t>
      </text>
    </comment>
    <comment authorId="0" ref="I9">
      <text>
        <t xml:space="preserve">In between Cohorts. 
</t>
      </text>
    </comment>
    <comment authorId="0" ref="J9">
      <text>
        <t xml:space="preserve">In between Cohorts. 
</t>
      </text>
    </comment>
    <comment authorId="0" ref="K9">
      <text>
        <t xml:space="preserve">In between Cohorts. 
</t>
      </text>
    </comment>
    <comment authorId="0" ref="L9">
      <text>
        <t xml:space="preserve">In between Cohorts. 
</t>
      </text>
    </comment>
    <comment authorId="0" ref="M9">
      <text>
        <t xml:space="preserve">In between Cohorts. 
</t>
      </text>
    </comment>
    <comment authorId="0" ref="N9">
      <text>
        <t xml:space="preserve">In between Cohorts. 
</t>
      </text>
    </comment>
    <comment authorId="0" ref="O9">
      <text>
        <t xml:space="preserve">In between Cohorts. 
</t>
      </text>
    </comment>
    <comment authorId="0" ref="P9">
      <text>
        <t xml:space="preserve">In between Cohorts. 
</t>
      </text>
    </comment>
    <comment authorId="0" ref="R9">
      <text>
        <t xml:space="preserve">In between Cohorts. 
</t>
      </text>
    </comment>
    <comment authorId="0" ref="S9">
      <text>
        <t xml:space="preserve">In between Cohorts. 
</t>
      </text>
    </comment>
    <comment authorId="0" ref="T9">
      <text>
        <t xml:space="preserve">In between Cohorts. 
</t>
      </text>
    </comment>
    <comment authorId="0" ref="U9">
      <text>
        <t xml:space="preserve">In between Cohorts. 
</t>
      </text>
    </comment>
    <comment authorId="0" ref="V9">
      <text>
        <t xml:space="preserve">In between Cohorts. 
</t>
      </text>
    </comment>
    <comment authorId="0" ref="W9">
      <text>
        <t xml:space="preserve">In between Cohorts. 
</t>
      </text>
    </comment>
    <comment authorId="0" ref="X9">
      <text>
        <t xml:space="preserve">In between Cohorts. 
</t>
      </text>
    </comment>
    <comment authorId="0" ref="Y9">
      <text>
        <t xml:space="preserve">In between Cohorts. 
</t>
      </text>
    </comment>
    <comment authorId="0" ref="Z9">
      <text>
        <t xml:space="preserve">In between Cohorts. 
</t>
      </text>
    </comment>
    <comment authorId="0" ref="F10">
      <text>
        <t xml:space="preserve">In between Cohorts. 
</t>
      </text>
    </comment>
    <comment authorId="0" ref="G10">
      <text>
        <t xml:space="preserve">In between Cohorts. 
</t>
      </text>
    </comment>
    <comment authorId="0" ref="H10">
      <text>
        <t xml:space="preserve">In between Cohorts. 
</t>
      </text>
    </comment>
    <comment authorId="0" ref="I10">
      <text>
        <t xml:space="preserve">In between Cohorts. 
</t>
      </text>
    </comment>
    <comment authorId="0" ref="J10">
      <text>
        <t xml:space="preserve">In between Cohorts. 
</t>
      </text>
    </comment>
    <comment authorId="0" ref="K10">
      <text>
        <t xml:space="preserve">In between Cohorts. 
</t>
      </text>
    </comment>
    <comment authorId="0" ref="L10">
      <text>
        <t xml:space="preserve">In between Cohorts. 
</t>
      </text>
    </comment>
    <comment authorId="0" ref="M10">
      <text>
        <t xml:space="preserve">In between Cohorts. 
</t>
      </text>
    </comment>
    <comment authorId="0" ref="N10">
      <text>
        <t xml:space="preserve">In between Cohorts. 
</t>
      </text>
    </comment>
    <comment authorId="0" ref="O10">
      <text>
        <t xml:space="preserve">In between Cohorts. 
</t>
      </text>
    </comment>
    <comment authorId="0" ref="P10">
      <text>
        <t xml:space="preserve">In between Cohorts. 
</t>
      </text>
    </comment>
    <comment authorId="0" ref="R10">
      <text>
        <t xml:space="preserve">In between Cohorts. 
</t>
      </text>
    </comment>
    <comment authorId="0" ref="S10">
      <text>
        <t xml:space="preserve">In between Cohorts. 
</t>
      </text>
    </comment>
    <comment authorId="0" ref="T10">
      <text>
        <t xml:space="preserve">In between Cohorts. 
</t>
      </text>
    </comment>
    <comment authorId="0" ref="U10">
      <text>
        <t xml:space="preserve">In between Cohorts. 
</t>
      </text>
    </comment>
    <comment authorId="0" ref="V10">
      <text>
        <t xml:space="preserve">In between Cohorts. 
</t>
      </text>
    </comment>
    <comment authorId="0" ref="W10">
      <text>
        <t xml:space="preserve">In between Cohorts. 
</t>
      </text>
    </comment>
    <comment authorId="0" ref="X10">
      <text>
        <t xml:space="preserve">In between Cohorts. 
</t>
      </text>
    </comment>
    <comment authorId="0" ref="Y10">
      <text>
        <t xml:space="preserve">In between Cohorts. 
</t>
      </text>
    </comment>
    <comment authorId="0" ref="Z10">
      <text>
        <t xml:space="preserve">In between Cohorts. 
</t>
      </text>
    </comment>
    <comment authorId="0" ref="F11">
      <text>
        <t xml:space="preserve">In between Cohorts. 
</t>
      </text>
    </comment>
    <comment authorId="0" ref="G11">
      <text>
        <t xml:space="preserve">In between Cohorts. 
</t>
      </text>
    </comment>
    <comment authorId="0" ref="H11">
      <text>
        <t xml:space="preserve">In between Cohorts. 
</t>
      </text>
    </comment>
    <comment authorId="0" ref="I11">
      <text>
        <t xml:space="preserve">In between Cohorts. 
</t>
      </text>
    </comment>
    <comment authorId="0" ref="J11">
      <text>
        <t xml:space="preserve">In between Cohorts. 
</t>
      </text>
    </comment>
    <comment authorId="0" ref="K11">
      <text>
        <t xml:space="preserve">In between Cohorts. 
</t>
      </text>
    </comment>
    <comment authorId="0" ref="L11">
      <text>
        <t xml:space="preserve">In between Cohorts. 
</t>
      </text>
    </comment>
    <comment authorId="0" ref="M11">
      <text>
        <t xml:space="preserve">In between Cohorts. 
</t>
      </text>
    </comment>
    <comment authorId="0" ref="N11">
      <text>
        <t xml:space="preserve">In between Cohorts. 
</t>
      </text>
    </comment>
    <comment authorId="0" ref="O11">
      <text>
        <t xml:space="preserve">In between Cohorts. 
</t>
      </text>
    </comment>
    <comment authorId="0" ref="P11">
      <text>
        <t xml:space="preserve">In between Cohorts. 
</t>
      </text>
    </comment>
    <comment authorId="0" ref="R11">
      <text>
        <t xml:space="preserve">In between Cohorts. 
</t>
      </text>
    </comment>
    <comment authorId="0" ref="S11">
      <text>
        <t xml:space="preserve">In between Cohorts. 
</t>
      </text>
    </comment>
    <comment authorId="0" ref="T11">
      <text>
        <t xml:space="preserve">In between Cohorts. 
</t>
      </text>
    </comment>
    <comment authorId="0" ref="U11">
      <text>
        <t xml:space="preserve">In between Cohorts. 
</t>
      </text>
    </comment>
    <comment authorId="0" ref="V11">
      <text>
        <t xml:space="preserve">In between Cohorts. 
</t>
      </text>
    </comment>
    <comment authorId="0" ref="W11">
      <text>
        <t xml:space="preserve">In between Cohorts. 
</t>
      </text>
    </comment>
    <comment authorId="0" ref="X11">
      <text>
        <t xml:space="preserve">In between Cohorts. 
</t>
      </text>
    </comment>
    <comment authorId="0" ref="Y11">
      <text>
        <t xml:space="preserve">In between Cohorts. 
</t>
      </text>
    </comment>
    <comment authorId="0" ref="Z11">
      <text>
        <t xml:space="preserve">In between Cohorts. 
</t>
      </text>
    </comment>
    <comment authorId="0" ref="F12">
      <text>
        <t xml:space="preserve">In between Cohorts. 
</t>
      </text>
    </comment>
    <comment authorId="0" ref="G12">
      <text>
        <t xml:space="preserve">In between Cohorts. 
</t>
      </text>
    </comment>
    <comment authorId="0" ref="H12">
      <text>
        <t xml:space="preserve">In between Cohorts. 
</t>
      </text>
    </comment>
    <comment authorId="0" ref="I12">
      <text>
        <t xml:space="preserve">In between Cohorts. 
</t>
      </text>
    </comment>
    <comment authorId="0" ref="J12">
      <text>
        <t xml:space="preserve">In between Cohorts. 
</t>
      </text>
    </comment>
    <comment authorId="0" ref="K12">
      <text>
        <t xml:space="preserve">In between Cohorts. 
</t>
      </text>
    </comment>
    <comment authorId="0" ref="L12">
      <text>
        <t xml:space="preserve">In between Cohorts. 
</t>
      </text>
    </comment>
    <comment authorId="0" ref="M12">
      <text>
        <t xml:space="preserve">In between Cohorts. 
</t>
      </text>
    </comment>
    <comment authorId="0" ref="N12">
      <text>
        <t xml:space="preserve">In between Cohorts. 
</t>
      </text>
    </comment>
    <comment authorId="0" ref="O12">
      <text>
        <t xml:space="preserve">In between Cohorts. 
</t>
      </text>
    </comment>
    <comment authorId="0" ref="P12">
      <text>
        <t xml:space="preserve">In between Cohorts. 
</t>
      </text>
    </comment>
    <comment authorId="0" ref="R12">
      <text>
        <t xml:space="preserve">In between Cohorts. 
</t>
      </text>
    </comment>
    <comment authorId="0" ref="S12">
      <text>
        <t xml:space="preserve">In between Cohorts. 
</t>
      </text>
    </comment>
    <comment authorId="0" ref="T12">
      <text>
        <t xml:space="preserve">In between Cohorts. 
</t>
      </text>
    </comment>
    <comment authorId="0" ref="U12">
      <text>
        <t xml:space="preserve">In between Cohorts. 
</t>
      </text>
    </comment>
    <comment authorId="0" ref="V12">
      <text>
        <t xml:space="preserve">In between Cohorts. 
</t>
      </text>
    </comment>
    <comment authorId="0" ref="W12">
      <text>
        <t xml:space="preserve">In between Cohorts. 
</t>
      </text>
    </comment>
    <comment authorId="0" ref="X12">
      <text>
        <t xml:space="preserve">In between Cohorts. 
</t>
      </text>
    </comment>
    <comment authorId="0" ref="Y12">
      <text>
        <t xml:space="preserve">In between Cohorts. 
</t>
      </text>
    </comment>
    <comment authorId="0" ref="Z12">
      <text>
        <t xml:space="preserve">In between Cohorts. 
</t>
      </text>
    </comment>
    <comment authorId="0" ref="F13">
      <text>
        <t xml:space="preserve">In between Cohorts. 
</t>
      </text>
    </comment>
    <comment authorId="0" ref="G13">
      <text>
        <t xml:space="preserve">In between Cohorts. 
</t>
      </text>
    </comment>
    <comment authorId="0" ref="H13">
      <text>
        <t xml:space="preserve">In between Cohorts. 
</t>
      </text>
    </comment>
    <comment authorId="0" ref="I13">
      <text>
        <t xml:space="preserve">In between Cohorts. 
</t>
      </text>
    </comment>
    <comment authorId="0" ref="J13">
      <text>
        <t xml:space="preserve">In between Cohorts. 
</t>
      </text>
    </comment>
    <comment authorId="0" ref="K13">
      <text>
        <t xml:space="preserve">In between Cohorts. 
</t>
      </text>
    </comment>
    <comment authorId="0" ref="L13">
      <text>
        <t xml:space="preserve">In between Cohorts. 
</t>
      </text>
    </comment>
    <comment authorId="0" ref="M13">
      <text>
        <t xml:space="preserve">In between Cohorts. 
</t>
      </text>
    </comment>
    <comment authorId="0" ref="N13">
      <text>
        <t xml:space="preserve">In between Cohorts. 
</t>
      </text>
    </comment>
    <comment authorId="0" ref="O13">
      <text>
        <t xml:space="preserve">In between Cohorts. 
</t>
      </text>
    </comment>
    <comment authorId="0" ref="P13">
      <text>
        <t xml:space="preserve">In between Cohorts. 
</t>
      </text>
    </comment>
    <comment authorId="0" ref="R13">
      <text>
        <t xml:space="preserve">In between Cohorts. 
</t>
      </text>
    </comment>
    <comment authorId="0" ref="S13">
      <text>
        <t xml:space="preserve">In between Cohorts. 
</t>
      </text>
    </comment>
    <comment authorId="0" ref="T13">
      <text>
        <t xml:space="preserve">In between Cohorts. 
</t>
      </text>
    </comment>
    <comment authorId="0" ref="U13">
      <text>
        <t xml:space="preserve">In between Cohorts. 
</t>
      </text>
    </comment>
    <comment authorId="0" ref="V13">
      <text>
        <t xml:space="preserve">In between Cohorts. 
</t>
      </text>
    </comment>
    <comment authorId="0" ref="W13">
      <text>
        <t xml:space="preserve">In between Cohorts. 
</t>
      </text>
    </comment>
    <comment authorId="0" ref="X13">
      <text>
        <t xml:space="preserve">In between Cohorts. 
</t>
      </text>
    </comment>
    <comment authorId="0" ref="Y13">
      <text>
        <t xml:space="preserve">In between Cohorts. 
</t>
      </text>
    </comment>
    <comment authorId="0" ref="Z13">
      <text>
        <t xml:space="preserve">In between Cohorts. 
</t>
      </text>
    </comment>
    <comment authorId="0" ref="F14">
      <text>
        <t xml:space="preserve">In between Cohorts. 
</t>
      </text>
    </comment>
    <comment authorId="0" ref="G14">
      <text>
        <t xml:space="preserve">In between Cohorts. 
</t>
      </text>
    </comment>
    <comment authorId="0" ref="H14">
      <text>
        <t xml:space="preserve">In between Cohorts. 
</t>
      </text>
    </comment>
    <comment authorId="0" ref="I14">
      <text>
        <t xml:space="preserve">In between Cohorts. 
</t>
      </text>
    </comment>
    <comment authorId="0" ref="J14">
      <text>
        <t xml:space="preserve">In between Cohorts. 
</t>
      </text>
    </comment>
    <comment authorId="0" ref="K14">
      <text>
        <t xml:space="preserve">In between Cohorts. 
</t>
      </text>
    </comment>
    <comment authorId="0" ref="L14">
      <text>
        <t xml:space="preserve">In between Cohorts. 
</t>
      </text>
    </comment>
    <comment authorId="0" ref="M14">
      <text>
        <t xml:space="preserve">In between Cohorts. 
</t>
      </text>
    </comment>
    <comment authorId="0" ref="N14">
      <text>
        <t xml:space="preserve">In between Cohorts. 
</t>
      </text>
    </comment>
    <comment authorId="0" ref="O14">
      <text>
        <t xml:space="preserve">In between Cohorts. 
</t>
      </text>
    </comment>
    <comment authorId="0" ref="P14">
      <text>
        <t xml:space="preserve">In between Cohorts. 
</t>
      </text>
    </comment>
    <comment authorId="0" ref="R14">
      <text>
        <t xml:space="preserve">In between Cohorts. 
</t>
      </text>
    </comment>
    <comment authorId="0" ref="S14">
      <text>
        <t xml:space="preserve">In between Cohorts. 
</t>
      </text>
    </comment>
    <comment authorId="0" ref="T14">
      <text>
        <t xml:space="preserve">In between Cohorts. 
</t>
      </text>
    </comment>
    <comment authorId="0" ref="U14">
      <text>
        <t xml:space="preserve">In between Cohorts. 
</t>
      </text>
    </comment>
    <comment authorId="0" ref="V14">
      <text>
        <t xml:space="preserve">In between Cohorts. 
</t>
      </text>
    </comment>
    <comment authorId="0" ref="W14">
      <text>
        <t xml:space="preserve">In between Cohorts. 
</t>
      </text>
    </comment>
    <comment authorId="0" ref="X14">
      <text>
        <t xml:space="preserve">In between Cohorts. 
</t>
      </text>
    </comment>
    <comment authorId="0" ref="Y14">
      <text>
        <t xml:space="preserve">In between Cohorts. 
</t>
      </text>
    </comment>
    <comment authorId="0" ref="Z14">
      <text>
        <t xml:space="preserve">In between Cohorts. 
</t>
      </text>
    </comment>
    <comment authorId="0" ref="F15">
      <text>
        <t xml:space="preserve">In between Cohorts. 
</t>
      </text>
    </comment>
    <comment authorId="0" ref="G15">
      <text>
        <t xml:space="preserve">In between Cohorts. 
</t>
      </text>
    </comment>
    <comment authorId="0" ref="H15">
      <text>
        <t xml:space="preserve">In between Cohorts. 
</t>
      </text>
    </comment>
    <comment authorId="0" ref="I15">
      <text>
        <t xml:space="preserve">In between Cohorts. 
</t>
      </text>
    </comment>
    <comment authorId="0" ref="J15">
      <text>
        <t xml:space="preserve">In between Cohorts. 
</t>
      </text>
    </comment>
    <comment authorId="0" ref="K15">
      <text>
        <t xml:space="preserve">In between Cohorts. 
</t>
      </text>
    </comment>
    <comment authorId="0" ref="L15">
      <text>
        <t xml:space="preserve">In between Cohorts. 
</t>
      </text>
    </comment>
    <comment authorId="0" ref="M15">
      <text>
        <t xml:space="preserve">In between Cohorts. 
</t>
      </text>
    </comment>
    <comment authorId="0" ref="N15">
      <text>
        <t xml:space="preserve">In between Cohorts. 
</t>
      </text>
    </comment>
    <comment authorId="0" ref="O15">
      <text>
        <t xml:space="preserve">In between Cohorts. 
</t>
      </text>
    </comment>
    <comment authorId="0" ref="P15">
      <text>
        <t xml:space="preserve">In between Cohorts. 
</t>
      </text>
    </comment>
    <comment authorId="0" ref="R15">
      <text>
        <t xml:space="preserve">In between Cohorts. 
</t>
      </text>
    </comment>
    <comment authorId="0" ref="S15">
      <text>
        <t xml:space="preserve">In between Cohorts. 
</t>
      </text>
    </comment>
    <comment authorId="0" ref="T15">
      <text>
        <t xml:space="preserve">In between Cohorts. 
</t>
      </text>
    </comment>
    <comment authorId="0" ref="U15">
      <text>
        <t xml:space="preserve">In between Cohorts. 
</t>
      </text>
    </comment>
    <comment authorId="0" ref="V15">
      <text>
        <t xml:space="preserve">In between Cohorts. 
</t>
      </text>
    </comment>
    <comment authorId="0" ref="W15">
      <text>
        <t xml:space="preserve">In between Cohorts. 
</t>
      </text>
    </comment>
    <comment authorId="0" ref="X15">
      <text>
        <t xml:space="preserve">In between Cohorts. 
</t>
      </text>
    </comment>
    <comment authorId="0" ref="Y15">
      <text>
        <t xml:space="preserve">In between Cohorts. 
</t>
      </text>
    </comment>
    <comment authorId="0" ref="Z15">
      <text>
        <t xml:space="preserve">In between Cohorts. 
</t>
      </text>
    </comment>
    <comment authorId="0" ref="F16">
      <text>
        <t xml:space="preserve">In between Cohorts. 
</t>
      </text>
    </comment>
    <comment authorId="0" ref="G16">
      <text>
        <t xml:space="preserve">In between Cohorts. 
</t>
      </text>
    </comment>
    <comment authorId="0" ref="H16">
      <text>
        <t xml:space="preserve">In between Cohorts. 
</t>
      </text>
    </comment>
    <comment authorId="0" ref="I16">
      <text>
        <t xml:space="preserve">In between Cohorts. 
</t>
      </text>
    </comment>
    <comment authorId="0" ref="J16">
      <text>
        <t xml:space="preserve">In between Cohorts. 
</t>
      </text>
    </comment>
    <comment authorId="0" ref="K16">
      <text>
        <t xml:space="preserve">In between Cohorts. 
</t>
      </text>
    </comment>
    <comment authorId="0" ref="L16">
      <text>
        <t xml:space="preserve">In between Cohorts. 
</t>
      </text>
    </comment>
    <comment authorId="0" ref="M16">
      <text>
        <t xml:space="preserve">In between Cohorts. 
</t>
      </text>
    </comment>
    <comment authorId="0" ref="N16">
      <text>
        <t xml:space="preserve">In between Cohorts. 
</t>
      </text>
    </comment>
    <comment authorId="0" ref="O16">
      <text>
        <t xml:space="preserve">In between Cohorts. 
</t>
      </text>
    </comment>
    <comment authorId="0" ref="P16">
      <text>
        <t xml:space="preserve">In between Cohorts. 
</t>
      </text>
    </comment>
    <comment authorId="0" ref="R16">
      <text>
        <t xml:space="preserve">In between Cohorts. 
</t>
      </text>
    </comment>
    <comment authorId="0" ref="S16">
      <text>
        <t xml:space="preserve">In between Cohorts. 
</t>
      </text>
    </comment>
    <comment authorId="0" ref="T16">
      <text>
        <t xml:space="preserve">In between Cohorts. 
</t>
      </text>
    </comment>
    <comment authorId="0" ref="U16">
      <text>
        <t xml:space="preserve">In between Cohorts. 
</t>
      </text>
    </comment>
    <comment authorId="0" ref="V16">
      <text>
        <t xml:space="preserve">In between Cohorts. 
</t>
      </text>
    </comment>
    <comment authorId="0" ref="W16">
      <text>
        <t xml:space="preserve">In between Cohorts. 
</t>
      </text>
    </comment>
    <comment authorId="0" ref="X16">
      <text>
        <t xml:space="preserve">In between Cohorts. 
</t>
      </text>
    </comment>
    <comment authorId="0" ref="Y16">
      <text>
        <t xml:space="preserve">In between Cohorts. 
</t>
      </text>
    </comment>
    <comment authorId="0" ref="Z16">
      <text>
        <t xml:space="preserve">In between Cohorts. 
</t>
      </text>
    </comment>
    <comment authorId="0" ref="F17">
      <text>
        <t xml:space="preserve">In between Cohorts. 
</t>
      </text>
    </comment>
    <comment authorId="0" ref="G17">
      <text>
        <t xml:space="preserve">In between Cohorts. 
</t>
      </text>
    </comment>
    <comment authorId="0" ref="H17">
      <text>
        <t xml:space="preserve">In between Cohorts. 
</t>
      </text>
    </comment>
    <comment authorId="0" ref="I17">
      <text>
        <t xml:space="preserve">In between Cohorts. 
</t>
      </text>
    </comment>
    <comment authorId="0" ref="J17">
      <text>
        <t xml:space="preserve">In between Cohorts. 
</t>
      </text>
    </comment>
    <comment authorId="0" ref="K17">
      <text>
        <t xml:space="preserve">In between Cohorts. 
</t>
      </text>
    </comment>
    <comment authorId="0" ref="L17">
      <text>
        <t xml:space="preserve">In between Cohorts. 
</t>
      </text>
    </comment>
    <comment authorId="0" ref="M17">
      <text>
        <t xml:space="preserve">In between Cohorts. 
</t>
      </text>
    </comment>
    <comment authorId="0" ref="N17">
      <text>
        <t xml:space="preserve">In between Cohorts. 
</t>
      </text>
    </comment>
    <comment authorId="0" ref="O17">
      <text>
        <t xml:space="preserve">In between Cohorts. 
</t>
      </text>
    </comment>
    <comment authorId="0" ref="P17">
      <text>
        <t xml:space="preserve">In between Cohorts. 
</t>
      </text>
    </comment>
    <comment authorId="0" ref="R17">
      <text>
        <t xml:space="preserve">In between Cohorts. 
</t>
      </text>
    </comment>
    <comment authorId="0" ref="S17">
      <text>
        <t xml:space="preserve">In between Cohorts. 
</t>
      </text>
    </comment>
    <comment authorId="0" ref="T17">
      <text>
        <t xml:space="preserve">In between Cohorts. 
</t>
      </text>
    </comment>
    <comment authorId="0" ref="U17">
      <text>
        <t xml:space="preserve">In between Cohorts. 
</t>
      </text>
    </comment>
    <comment authorId="0" ref="V17">
      <text>
        <t xml:space="preserve">In between Cohorts. 
</t>
      </text>
    </comment>
    <comment authorId="0" ref="W17">
      <text>
        <t xml:space="preserve">In between Cohorts. 
</t>
      </text>
    </comment>
    <comment authorId="0" ref="X17">
      <text>
        <t xml:space="preserve">In between Cohorts. 
</t>
      </text>
    </comment>
    <comment authorId="0" ref="Y17">
      <text>
        <t xml:space="preserve">In between Cohorts. 
</t>
      </text>
    </comment>
    <comment authorId="0" ref="Z17">
      <text>
        <t xml:space="preserve">In between Cohorts. 
</t>
      </text>
    </comment>
    <comment authorId="0" ref="F18">
      <text>
        <t xml:space="preserve">In between Cohorts. 
</t>
      </text>
    </comment>
    <comment authorId="0" ref="G18">
      <text>
        <t xml:space="preserve">In between Cohorts. 
</t>
      </text>
    </comment>
    <comment authorId="0" ref="H18">
      <text>
        <t xml:space="preserve">In between Cohorts. 
</t>
      </text>
    </comment>
    <comment authorId="0" ref="I18">
      <text>
        <t xml:space="preserve">In between Cohorts. 
</t>
      </text>
    </comment>
    <comment authorId="0" ref="J18">
      <text>
        <t xml:space="preserve">In between Cohorts. 
</t>
      </text>
    </comment>
    <comment authorId="0" ref="K18">
      <text>
        <t xml:space="preserve">In between Cohorts. 
</t>
      </text>
    </comment>
    <comment authorId="0" ref="L18">
      <text>
        <t xml:space="preserve">In between Cohorts. 
</t>
      </text>
    </comment>
    <comment authorId="0" ref="M18">
      <text>
        <t xml:space="preserve">In between Cohorts. 
</t>
      </text>
    </comment>
    <comment authorId="0" ref="N18">
      <text>
        <t xml:space="preserve">In between Cohorts. 
</t>
      </text>
    </comment>
    <comment authorId="0" ref="O18">
      <text>
        <t xml:space="preserve">In between Cohorts. 
</t>
      </text>
    </comment>
    <comment authorId="0" ref="P18">
      <text>
        <t xml:space="preserve">In between Cohorts. 
</t>
      </text>
    </comment>
    <comment authorId="0" ref="R18">
      <text>
        <t xml:space="preserve">In between Cohorts. 
</t>
      </text>
    </comment>
    <comment authorId="0" ref="S18">
      <text>
        <t xml:space="preserve">In between Cohorts. 
</t>
      </text>
    </comment>
    <comment authorId="0" ref="T18">
      <text>
        <t xml:space="preserve">In between Cohorts. 
</t>
      </text>
    </comment>
    <comment authorId="0" ref="U18">
      <text>
        <t xml:space="preserve">In between Cohorts. 
</t>
      </text>
    </comment>
    <comment authorId="0" ref="V18">
      <text>
        <t xml:space="preserve">In between Cohorts. 
</t>
      </text>
    </comment>
    <comment authorId="0" ref="W18">
      <text>
        <t xml:space="preserve">In between Cohorts. 
</t>
      </text>
    </comment>
    <comment authorId="0" ref="X18">
      <text>
        <t xml:space="preserve">In between Cohorts. 
</t>
      </text>
    </comment>
    <comment authorId="0" ref="Y18">
      <text>
        <t xml:space="preserve">In between Cohorts. 
</t>
      </text>
    </comment>
    <comment authorId="0" ref="Z18">
      <text>
        <t xml:space="preserve">In between Cohorts. 
</t>
      </text>
    </comment>
    <comment authorId="0" ref="F19">
      <text>
        <t xml:space="preserve">In between Cohorts. 
</t>
      </text>
    </comment>
    <comment authorId="0" ref="G19">
      <text>
        <t xml:space="preserve">In between Cohorts. 
</t>
      </text>
    </comment>
    <comment authorId="0" ref="H19">
      <text>
        <t xml:space="preserve">In between Cohorts. 
</t>
      </text>
    </comment>
    <comment authorId="0" ref="I19">
      <text>
        <t xml:space="preserve">In between Cohorts. 
</t>
      </text>
    </comment>
    <comment authorId="0" ref="J19">
      <text>
        <t xml:space="preserve">In between Cohorts. 
</t>
      </text>
    </comment>
    <comment authorId="0" ref="K19">
      <text>
        <t xml:space="preserve">In between Cohorts. 
</t>
      </text>
    </comment>
    <comment authorId="0" ref="L19">
      <text>
        <t xml:space="preserve">In between Cohorts. 
</t>
      </text>
    </comment>
    <comment authorId="0" ref="M19">
      <text>
        <t xml:space="preserve">In between Cohorts. 
</t>
      </text>
    </comment>
    <comment authorId="0" ref="N19">
      <text>
        <t xml:space="preserve">In between Cohorts. 
</t>
      </text>
    </comment>
    <comment authorId="0" ref="O19">
      <text>
        <t xml:space="preserve">In between Cohorts. 
</t>
      </text>
    </comment>
    <comment authorId="0" ref="P19">
      <text>
        <t xml:space="preserve">In between Cohorts. 
</t>
      </text>
    </comment>
    <comment authorId="0" ref="R19">
      <text>
        <t xml:space="preserve">In between Cohorts. 
</t>
      </text>
    </comment>
    <comment authorId="0" ref="S19">
      <text>
        <t xml:space="preserve">In between Cohorts. 
</t>
      </text>
    </comment>
    <comment authorId="0" ref="T19">
      <text>
        <t xml:space="preserve">In between Cohorts. 
</t>
      </text>
    </comment>
    <comment authorId="0" ref="U19">
      <text>
        <t xml:space="preserve">In between Cohorts. 
</t>
      </text>
    </comment>
    <comment authorId="0" ref="V19">
      <text>
        <t xml:space="preserve">In between Cohorts. 
</t>
      </text>
    </comment>
    <comment authorId="0" ref="W19">
      <text>
        <t xml:space="preserve">In between Cohorts. 
</t>
      </text>
    </comment>
    <comment authorId="0" ref="X19">
      <text>
        <t xml:space="preserve">In between Cohorts. 
</t>
      </text>
    </comment>
    <comment authorId="0" ref="Y19">
      <text>
        <t xml:space="preserve">In between Cohorts. 
</t>
      </text>
    </comment>
    <comment authorId="0" ref="Z19">
      <text>
        <t xml:space="preserve">In between Cohorts. 
</t>
      </text>
    </comment>
    <comment authorId="0" ref="F20">
      <text>
        <t xml:space="preserve">In between Cohorts. 
</t>
      </text>
    </comment>
    <comment authorId="0" ref="G20">
      <text>
        <t xml:space="preserve">In between Cohorts. 
</t>
      </text>
    </comment>
    <comment authorId="0" ref="H20">
      <text>
        <t xml:space="preserve">In between Cohorts. 
</t>
      </text>
    </comment>
    <comment authorId="0" ref="I20">
      <text>
        <t xml:space="preserve">In between Cohorts. 
</t>
      </text>
    </comment>
    <comment authorId="0" ref="J20">
      <text>
        <t xml:space="preserve">In between Cohorts. 
</t>
      </text>
    </comment>
    <comment authorId="0" ref="K20">
      <text>
        <t xml:space="preserve">In between Cohorts. 
</t>
      </text>
    </comment>
    <comment authorId="0" ref="L20">
      <text>
        <t xml:space="preserve">In between Cohorts. 
</t>
      </text>
    </comment>
    <comment authorId="0" ref="M20">
      <text>
        <t xml:space="preserve">In between Cohorts. 
</t>
      </text>
    </comment>
    <comment authorId="0" ref="N20">
      <text>
        <t xml:space="preserve">In between Cohorts. 
</t>
      </text>
    </comment>
    <comment authorId="0" ref="O20">
      <text>
        <t xml:space="preserve">In between Cohorts. 
</t>
      </text>
    </comment>
    <comment authorId="0" ref="P20">
      <text>
        <t xml:space="preserve">In between Cohorts. 
</t>
      </text>
    </comment>
    <comment authorId="0" ref="R20">
      <text>
        <t xml:space="preserve">In between Cohorts. 
</t>
      </text>
    </comment>
    <comment authorId="0" ref="S20">
      <text>
        <t xml:space="preserve">In between Cohorts. 
</t>
      </text>
    </comment>
    <comment authorId="0" ref="T20">
      <text>
        <t xml:space="preserve">In between Cohorts. 
</t>
      </text>
    </comment>
    <comment authorId="0" ref="U20">
      <text>
        <t xml:space="preserve">In between Cohorts. 
</t>
      </text>
    </comment>
    <comment authorId="0" ref="V20">
      <text>
        <t xml:space="preserve">In between Cohorts. 
</t>
      </text>
    </comment>
    <comment authorId="0" ref="W20">
      <text>
        <t xml:space="preserve">In between Cohorts. 
</t>
      </text>
    </comment>
    <comment authorId="0" ref="X20">
      <text>
        <t xml:space="preserve">In between Cohorts. 
</t>
      </text>
    </comment>
    <comment authorId="0" ref="Y20">
      <text>
        <t xml:space="preserve">In between Cohorts. 
</t>
      </text>
    </comment>
    <comment authorId="0" ref="Z20">
      <text>
        <t xml:space="preserve">In between Cohorts. 
</t>
      </text>
    </comment>
    <comment authorId="0" ref="F21">
      <text>
        <t xml:space="preserve">In between Cohorts. 
</t>
      </text>
    </comment>
    <comment authorId="0" ref="G21">
      <text>
        <t xml:space="preserve">In between Cohorts. 
</t>
      </text>
    </comment>
    <comment authorId="0" ref="H21">
      <text>
        <t xml:space="preserve">In between Cohorts. 
</t>
      </text>
    </comment>
    <comment authorId="0" ref="I21">
      <text>
        <t xml:space="preserve">In between Cohorts. 
</t>
      </text>
    </comment>
    <comment authorId="0" ref="J21">
      <text>
        <t xml:space="preserve">In between Cohorts. 
</t>
      </text>
    </comment>
    <comment authorId="0" ref="K21">
      <text>
        <t xml:space="preserve">In between Cohorts. 
</t>
      </text>
    </comment>
    <comment authorId="0" ref="L21">
      <text>
        <t xml:space="preserve">In between Cohorts. 
</t>
      </text>
    </comment>
    <comment authorId="0" ref="M21">
      <text>
        <t xml:space="preserve">In between Cohorts. 
</t>
      </text>
    </comment>
    <comment authorId="0" ref="N21">
      <text>
        <t xml:space="preserve">In between Cohorts. 
</t>
      </text>
    </comment>
    <comment authorId="0" ref="O21">
      <text>
        <t xml:space="preserve">In between Cohorts. 
</t>
      </text>
    </comment>
    <comment authorId="0" ref="P21">
      <text>
        <t xml:space="preserve">In between Cohorts. 
</t>
      </text>
    </comment>
    <comment authorId="0" ref="R21">
      <text>
        <t xml:space="preserve">In between Cohorts. 
</t>
      </text>
    </comment>
    <comment authorId="0" ref="S21">
      <text>
        <t xml:space="preserve">In between Cohorts. 
</t>
      </text>
    </comment>
    <comment authorId="0" ref="T21">
      <text>
        <t xml:space="preserve">In between Cohorts. 
</t>
      </text>
    </comment>
    <comment authorId="0" ref="U21">
      <text>
        <t xml:space="preserve">In between Cohorts. 
</t>
      </text>
    </comment>
    <comment authorId="0" ref="V21">
      <text>
        <t xml:space="preserve">In between Cohorts. 
</t>
      </text>
    </comment>
    <comment authorId="0" ref="W21">
      <text>
        <t xml:space="preserve">In between Cohorts. 
</t>
      </text>
    </comment>
    <comment authorId="0" ref="X21">
      <text>
        <t xml:space="preserve">In between Cohorts. 
</t>
      </text>
    </comment>
    <comment authorId="0" ref="Y21">
      <text>
        <t xml:space="preserve">In between Cohorts. 
</t>
      </text>
    </comment>
    <comment authorId="0" ref="Z21">
      <text>
        <t xml:space="preserve">In between Cohorts. 
</t>
      </text>
    </comment>
    <comment authorId="0" ref="F22">
      <text>
        <t xml:space="preserve">In between Cohorts. 
</t>
      </text>
    </comment>
    <comment authorId="0" ref="G22">
      <text>
        <t xml:space="preserve">In between Cohorts. 
</t>
      </text>
    </comment>
    <comment authorId="0" ref="H22">
      <text>
        <t xml:space="preserve">In between Cohorts. 
</t>
      </text>
    </comment>
    <comment authorId="0" ref="I22">
      <text>
        <t xml:space="preserve">In between Cohorts. 
</t>
      </text>
    </comment>
    <comment authorId="0" ref="J22">
      <text>
        <t xml:space="preserve">In between Cohorts. 
</t>
      </text>
    </comment>
    <comment authorId="0" ref="K22">
      <text>
        <t xml:space="preserve">In between Cohorts. 
</t>
      </text>
    </comment>
    <comment authorId="0" ref="L22">
      <text>
        <t xml:space="preserve">In between Cohorts. 
</t>
      </text>
    </comment>
    <comment authorId="0" ref="M22">
      <text>
        <t xml:space="preserve">In between Cohorts. 
</t>
      </text>
    </comment>
    <comment authorId="0" ref="N22">
      <text>
        <t xml:space="preserve">In between Cohorts. 
</t>
      </text>
    </comment>
    <comment authorId="0" ref="O22">
      <text>
        <t xml:space="preserve">In between Cohorts. 
</t>
      </text>
    </comment>
    <comment authorId="0" ref="P22">
      <text>
        <t xml:space="preserve">In between Cohorts. 
</t>
      </text>
    </comment>
    <comment authorId="0" ref="R22">
      <text>
        <t xml:space="preserve">In between Cohorts. 
</t>
      </text>
    </comment>
    <comment authorId="0" ref="S22">
      <text>
        <t xml:space="preserve">In between Cohorts. 
</t>
      </text>
    </comment>
    <comment authorId="0" ref="T22">
      <text>
        <t xml:space="preserve">In between Cohorts. 
</t>
      </text>
    </comment>
    <comment authorId="0" ref="U22">
      <text>
        <t xml:space="preserve">In between Cohorts. 
</t>
      </text>
    </comment>
    <comment authorId="0" ref="V22">
      <text>
        <t xml:space="preserve">In between Cohorts. 
</t>
      </text>
    </comment>
    <comment authorId="0" ref="W22">
      <text>
        <t xml:space="preserve">In between Cohorts. 
</t>
      </text>
    </comment>
    <comment authorId="0" ref="X22">
      <text>
        <t xml:space="preserve">In between Cohorts. 
</t>
      </text>
    </comment>
    <comment authorId="0" ref="Y22">
      <text>
        <t xml:space="preserve">In between Cohorts. 
</t>
      </text>
    </comment>
    <comment authorId="0" ref="Z22">
      <text>
        <t xml:space="preserve">In between Cohorts. 
</t>
      </text>
    </comment>
    <comment authorId="0" ref="F23">
      <text>
        <t xml:space="preserve">In between Cohorts. 
</t>
      </text>
    </comment>
    <comment authorId="0" ref="G23">
      <text>
        <t xml:space="preserve">In between Cohorts. 
</t>
      </text>
    </comment>
    <comment authorId="0" ref="H23">
      <text>
        <t xml:space="preserve">In between Cohorts. 
</t>
      </text>
    </comment>
    <comment authorId="0" ref="I23">
      <text>
        <t xml:space="preserve">In between Cohorts. 
</t>
      </text>
    </comment>
    <comment authorId="0" ref="J23">
      <text>
        <t xml:space="preserve">In between Cohorts. 
</t>
      </text>
    </comment>
    <comment authorId="0" ref="K23">
      <text>
        <t xml:space="preserve">In between Cohorts. 
</t>
      </text>
    </comment>
    <comment authorId="0" ref="L23">
      <text>
        <t xml:space="preserve">In between Cohorts. 
</t>
      </text>
    </comment>
    <comment authorId="0" ref="M23">
      <text>
        <t xml:space="preserve">In between Cohorts. 
</t>
      </text>
    </comment>
    <comment authorId="0" ref="N23">
      <text>
        <t xml:space="preserve">In between Cohorts. 
</t>
      </text>
    </comment>
    <comment authorId="0" ref="O23">
      <text>
        <t xml:space="preserve">In between Cohorts. 
</t>
      </text>
    </comment>
    <comment authorId="0" ref="P23">
      <text>
        <t xml:space="preserve">In between Cohorts. 
</t>
      </text>
    </comment>
    <comment authorId="0" ref="R23">
      <text>
        <t xml:space="preserve">In between Cohorts. 
</t>
      </text>
    </comment>
    <comment authorId="0" ref="S23">
      <text>
        <t xml:space="preserve">In between Cohorts. 
</t>
      </text>
    </comment>
    <comment authorId="0" ref="T23">
      <text>
        <t xml:space="preserve">In between Cohorts. 
</t>
      </text>
    </comment>
    <comment authorId="0" ref="U23">
      <text>
        <t xml:space="preserve">In between Cohorts. 
</t>
      </text>
    </comment>
    <comment authorId="0" ref="V23">
      <text>
        <t xml:space="preserve">In between Cohorts. 
</t>
      </text>
    </comment>
    <comment authorId="0" ref="W23">
      <text>
        <t xml:space="preserve">In between Cohorts. 
</t>
      </text>
    </comment>
    <comment authorId="0" ref="X23">
      <text>
        <t xml:space="preserve">In between Cohorts. 
</t>
      </text>
    </comment>
    <comment authorId="0" ref="Y23">
      <text>
        <t xml:space="preserve">In between Cohorts. 
</t>
      </text>
    </comment>
    <comment authorId="0" ref="Z23">
      <text>
        <t xml:space="preserve">In between Cohorts. 
</t>
      </text>
    </comment>
    <comment authorId="0" ref="F24">
      <text>
        <t xml:space="preserve">In between Cohorts. 
</t>
      </text>
    </comment>
    <comment authorId="0" ref="G24">
      <text>
        <t xml:space="preserve">In between Cohorts. 
</t>
      </text>
    </comment>
    <comment authorId="0" ref="H24">
      <text>
        <t xml:space="preserve">In between Cohorts. 
</t>
      </text>
    </comment>
    <comment authorId="0" ref="I24">
      <text>
        <t xml:space="preserve">In between Cohorts. 
</t>
      </text>
    </comment>
    <comment authorId="0" ref="J24">
      <text>
        <t xml:space="preserve">In between Cohorts. 
</t>
      </text>
    </comment>
    <comment authorId="0" ref="K24">
      <text>
        <t xml:space="preserve">In between Cohorts. 
</t>
      </text>
    </comment>
    <comment authorId="0" ref="L24">
      <text>
        <t xml:space="preserve">In between Cohorts. 
</t>
      </text>
    </comment>
    <comment authorId="0" ref="M24">
      <text>
        <t xml:space="preserve">In between Cohorts. 
</t>
      </text>
    </comment>
    <comment authorId="0" ref="N24">
      <text>
        <t xml:space="preserve">In between Cohorts. 
</t>
      </text>
    </comment>
    <comment authorId="0" ref="O24">
      <text>
        <t xml:space="preserve">In between Cohorts. 
</t>
      </text>
    </comment>
    <comment authorId="0" ref="P24">
      <text>
        <t xml:space="preserve">In between Cohorts. 
</t>
      </text>
    </comment>
    <comment authorId="0" ref="R24">
      <text>
        <t xml:space="preserve">In between Cohorts. 
</t>
      </text>
    </comment>
    <comment authorId="0" ref="S24">
      <text>
        <t xml:space="preserve">In between Cohorts. 
</t>
      </text>
    </comment>
    <comment authorId="0" ref="T24">
      <text>
        <t xml:space="preserve">In between Cohorts. 
</t>
      </text>
    </comment>
    <comment authorId="0" ref="U24">
      <text>
        <t xml:space="preserve">In between Cohorts. 
</t>
      </text>
    </comment>
    <comment authorId="0" ref="V24">
      <text>
        <t xml:space="preserve">In between Cohorts. 
</t>
      </text>
    </comment>
    <comment authorId="0" ref="W24">
      <text>
        <t xml:space="preserve">In between Cohorts. 
</t>
      </text>
    </comment>
    <comment authorId="0" ref="X24">
      <text>
        <t xml:space="preserve">In between Cohorts. 
</t>
      </text>
    </comment>
    <comment authorId="0" ref="Y24">
      <text>
        <t xml:space="preserve">In between Cohorts. 
</t>
      </text>
    </comment>
    <comment authorId="0" ref="Z24">
      <text>
        <t xml:space="preserve">In between Cohorts. 
</t>
      </text>
    </comment>
    <comment authorId="0" ref="F25">
      <text>
        <t xml:space="preserve">In between Cohorts. 
</t>
      </text>
    </comment>
    <comment authorId="0" ref="G25">
      <text>
        <t xml:space="preserve">In between Cohorts. 
</t>
      </text>
    </comment>
    <comment authorId="0" ref="H25">
      <text>
        <t xml:space="preserve">In between Cohorts. 
</t>
      </text>
    </comment>
    <comment authorId="0" ref="I25">
      <text>
        <t xml:space="preserve">In between Cohorts. 
</t>
      </text>
    </comment>
    <comment authorId="0" ref="J25">
      <text>
        <t xml:space="preserve">In between Cohorts. 
</t>
      </text>
    </comment>
    <comment authorId="0" ref="K25">
      <text>
        <t xml:space="preserve">In between Cohorts. 
</t>
      </text>
    </comment>
    <comment authorId="0" ref="L25">
      <text>
        <t xml:space="preserve">In between Cohorts. 
</t>
      </text>
    </comment>
    <comment authorId="0" ref="M25">
      <text>
        <t xml:space="preserve">In between Cohorts. 
</t>
      </text>
    </comment>
    <comment authorId="0" ref="N25">
      <text>
        <t xml:space="preserve">In between Cohorts. 
</t>
      </text>
    </comment>
    <comment authorId="0" ref="O25">
      <text>
        <t xml:space="preserve">In between Cohorts. 
</t>
      </text>
    </comment>
    <comment authorId="0" ref="P25">
      <text>
        <t xml:space="preserve">In between Cohorts. 
</t>
      </text>
    </comment>
    <comment authorId="0" ref="R25">
      <text>
        <t xml:space="preserve">In between Cohorts. 
</t>
      </text>
    </comment>
    <comment authorId="0" ref="S25">
      <text>
        <t xml:space="preserve">In between Cohorts. 
</t>
      </text>
    </comment>
    <comment authorId="0" ref="T25">
      <text>
        <t xml:space="preserve">In between Cohorts. 
</t>
      </text>
    </comment>
    <comment authorId="0" ref="U25">
      <text>
        <t xml:space="preserve">In between Cohorts. 
</t>
      </text>
    </comment>
    <comment authorId="0" ref="V25">
      <text>
        <t xml:space="preserve">In between Cohorts. 
</t>
      </text>
    </comment>
    <comment authorId="0" ref="W25">
      <text>
        <t xml:space="preserve">In between Cohorts. 
</t>
      </text>
    </comment>
    <comment authorId="0" ref="X25">
      <text>
        <t xml:space="preserve">In between Cohorts. 
</t>
      </text>
    </comment>
    <comment authorId="0" ref="Y25">
      <text>
        <t xml:space="preserve">In between Cohorts. 
</t>
      </text>
    </comment>
    <comment authorId="0" ref="Z25">
      <text>
        <t xml:space="preserve">In between Cohorts. 
</t>
      </text>
    </comment>
    <comment authorId="0" ref="F26">
      <text>
        <t xml:space="preserve">In between Cohorts. 
</t>
      </text>
    </comment>
    <comment authorId="0" ref="G26">
      <text>
        <t xml:space="preserve">In between Cohorts. 
</t>
      </text>
    </comment>
    <comment authorId="0" ref="H26">
      <text>
        <t xml:space="preserve">In between Cohorts. 
</t>
      </text>
    </comment>
    <comment authorId="0" ref="I26">
      <text>
        <t xml:space="preserve">In between Cohorts. 
</t>
      </text>
    </comment>
    <comment authorId="0" ref="J26">
      <text>
        <t xml:space="preserve">In between Cohorts. 
</t>
      </text>
    </comment>
    <comment authorId="0" ref="K26">
      <text>
        <t xml:space="preserve">In between Cohorts. 
</t>
      </text>
    </comment>
    <comment authorId="0" ref="L26">
      <text>
        <t xml:space="preserve">In between Cohorts. 
</t>
      </text>
    </comment>
    <comment authorId="0" ref="M26">
      <text>
        <t xml:space="preserve">In between Cohorts. 
</t>
      </text>
    </comment>
    <comment authorId="0" ref="N26">
      <text>
        <t xml:space="preserve">In between Cohorts. 
</t>
      </text>
    </comment>
    <comment authorId="0" ref="O26">
      <text>
        <t xml:space="preserve">In between Cohorts. 
</t>
      </text>
    </comment>
    <comment authorId="0" ref="P26">
      <text>
        <t xml:space="preserve">In between Cohorts. 
</t>
      </text>
    </comment>
    <comment authorId="0" ref="R26">
      <text>
        <t xml:space="preserve">In between Cohorts. 
</t>
      </text>
    </comment>
    <comment authorId="0" ref="S26">
      <text>
        <t xml:space="preserve">In between Cohorts. 
</t>
      </text>
    </comment>
    <comment authorId="0" ref="T26">
      <text>
        <t xml:space="preserve">In between Cohorts. 
</t>
      </text>
    </comment>
    <comment authorId="0" ref="U26">
      <text>
        <t xml:space="preserve">In between Cohorts. 
</t>
      </text>
    </comment>
    <comment authorId="0" ref="V26">
      <text>
        <t xml:space="preserve">In between Cohorts. 
</t>
      </text>
    </comment>
    <comment authorId="0" ref="W26">
      <text>
        <t xml:space="preserve">In between Cohorts. 
</t>
      </text>
    </comment>
    <comment authorId="0" ref="X26">
      <text>
        <t xml:space="preserve">In between Cohorts. 
</t>
      </text>
    </comment>
    <comment authorId="0" ref="Y26">
      <text>
        <t xml:space="preserve">In between Cohorts. 
</t>
      </text>
    </comment>
    <comment authorId="0" ref="Z26">
      <text>
        <t xml:space="preserve">In between Cohorts. 
</t>
      </text>
    </comment>
    <comment authorId="0" ref="F27">
      <text>
        <t xml:space="preserve">In between Cohorts. 
</t>
      </text>
    </comment>
    <comment authorId="0" ref="G27">
      <text>
        <t xml:space="preserve">In between Cohorts. 
</t>
      </text>
    </comment>
    <comment authorId="0" ref="H27">
      <text>
        <t xml:space="preserve">In between Cohorts. 
</t>
      </text>
    </comment>
    <comment authorId="0" ref="I27">
      <text>
        <t xml:space="preserve">In between Cohorts. 
</t>
      </text>
    </comment>
    <comment authorId="0" ref="J27">
      <text>
        <t xml:space="preserve">In between Cohorts. 
</t>
      </text>
    </comment>
    <comment authorId="0" ref="K27">
      <text>
        <t xml:space="preserve">In between Cohorts. 
</t>
      </text>
    </comment>
    <comment authorId="0" ref="L27">
      <text>
        <t xml:space="preserve">In between Cohorts. 
</t>
      </text>
    </comment>
    <comment authorId="0" ref="M27">
      <text>
        <t xml:space="preserve">In between Cohorts. 
</t>
      </text>
    </comment>
    <comment authorId="0" ref="N27">
      <text>
        <t xml:space="preserve">In between Cohorts. 
</t>
      </text>
    </comment>
    <comment authorId="0" ref="O27">
      <text>
        <t xml:space="preserve">In between Cohorts. 
</t>
      </text>
    </comment>
    <comment authorId="0" ref="P27">
      <text>
        <t xml:space="preserve">In between Cohorts. 
</t>
      </text>
    </comment>
    <comment authorId="0" ref="R27">
      <text>
        <t xml:space="preserve">In between Cohorts. 
</t>
      </text>
    </comment>
    <comment authorId="0" ref="S27">
      <text>
        <t xml:space="preserve">In between Cohorts. 
</t>
      </text>
    </comment>
    <comment authorId="0" ref="T27">
      <text>
        <t xml:space="preserve">In between Cohorts. 
</t>
      </text>
    </comment>
    <comment authorId="0" ref="U27">
      <text>
        <t xml:space="preserve">In between Cohorts. 
</t>
      </text>
    </comment>
    <comment authorId="0" ref="V27">
      <text>
        <t xml:space="preserve">In between Cohorts. 
</t>
      </text>
    </comment>
    <comment authorId="0" ref="W27">
      <text>
        <t xml:space="preserve">In between Cohorts. 
</t>
      </text>
    </comment>
    <comment authorId="0" ref="X27">
      <text>
        <t xml:space="preserve">In between Cohorts. 
</t>
      </text>
    </comment>
    <comment authorId="0" ref="Y27">
      <text>
        <t xml:space="preserve">In between Cohorts. 
</t>
      </text>
    </comment>
    <comment authorId="0" ref="Z27">
      <text>
        <t xml:space="preserve">In between Cohorts. 
</t>
      </text>
    </comment>
    <comment authorId="0" ref="F28">
      <text>
        <t xml:space="preserve">In between Cohorts. 
</t>
      </text>
    </comment>
    <comment authorId="0" ref="G28">
      <text>
        <t xml:space="preserve">In between Cohorts. 
</t>
      </text>
    </comment>
    <comment authorId="0" ref="H28">
      <text>
        <t xml:space="preserve">In between Cohorts. 
</t>
      </text>
    </comment>
    <comment authorId="0" ref="I28">
      <text>
        <t xml:space="preserve">In between Cohorts. 
</t>
      </text>
    </comment>
    <comment authorId="0" ref="J28">
      <text>
        <t xml:space="preserve">In between Cohorts. 
</t>
      </text>
    </comment>
    <comment authorId="0" ref="K28">
      <text>
        <t xml:space="preserve">In between Cohorts. 
</t>
      </text>
    </comment>
    <comment authorId="0" ref="L28">
      <text>
        <t xml:space="preserve">In between Cohorts. 
</t>
      </text>
    </comment>
    <comment authorId="0" ref="M28">
      <text>
        <t xml:space="preserve">In between Cohorts. 
</t>
      </text>
    </comment>
    <comment authorId="0" ref="N28">
      <text>
        <t xml:space="preserve">In between Cohorts. 
</t>
      </text>
    </comment>
    <comment authorId="0" ref="O28">
      <text>
        <t xml:space="preserve">In between Cohorts. 
</t>
      </text>
    </comment>
    <comment authorId="0" ref="P28">
      <text>
        <t xml:space="preserve">In between Cohorts. 
</t>
      </text>
    </comment>
    <comment authorId="0" ref="R28">
      <text>
        <t xml:space="preserve">In between Cohorts. 
</t>
      </text>
    </comment>
    <comment authorId="0" ref="S28">
      <text>
        <t xml:space="preserve">In between Cohorts. 
</t>
      </text>
    </comment>
    <comment authorId="0" ref="T28">
      <text>
        <t xml:space="preserve">In between Cohorts. 
</t>
      </text>
    </comment>
    <comment authorId="0" ref="U28">
      <text>
        <t xml:space="preserve">In between Cohorts. 
</t>
      </text>
    </comment>
    <comment authorId="0" ref="V28">
      <text>
        <t xml:space="preserve">In between Cohorts. 
</t>
      </text>
    </comment>
    <comment authorId="0" ref="W28">
      <text>
        <t xml:space="preserve">In between Cohorts. 
</t>
      </text>
    </comment>
    <comment authorId="0" ref="X28">
      <text>
        <t xml:space="preserve">In between Cohorts. 
</t>
      </text>
    </comment>
    <comment authorId="0" ref="Y28">
      <text>
        <t xml:space="preserve">In between Cohorts. 
</t>
      </text>
    </comment>
    <comment authorId="0" ref="Z28">
      <text>
        <t xml:space="preserve">In between Cohorts. 
</t>
      </text>
    </comment>
    <comment authorId="0" ref="F29">
      <text>
        <t xml:space="preserve">In between Cohorts. 
</t>
      </text>
    </comment>
    <comment authorId="0" ref="G29">
      <text>
        <t xml:space="preserve">In between Cohorts. 
</t>
      </text>
    </comment>
    <comment authorId="0" ref="H29">
      <text>
        <t xml:space="preserve">In between Cohorts. 
</t>
      </text>
    </comment>
    <comment authorId="0" ref="I29">
      <text>
        <t xml:space="preserve">In between Cohorts. 
</t>
      </text>
    </comment>
    <comment authorId="0" ref="J29">
      <text>
        <t xml:space="preserve">In between Cohorts. 
</t>
      </text>
    </comment>
    <comment authorId="0" ref="K29">
      <text>
        <t xml:space="preserve">In between Cohorts. 
</t>
      </text>
    </comment>
    <comment authorId="0" ref="L29">
      <text>
        <t xml:space="preserve">In between Cohorts. 
</t>
      </text>
    </comment>
    <comment authorId="0" ref="M29">
      <text>
        <t xml:space="preserve">In between Cohorts. 
</t>
      </text>
    </comment>
    <comment authorId="0" ref="N29">
      <text>
        <t xml:space="preserve">In between Cohorts. 
</t>
      </text>
    </comment>
    <comment authorId="0" ref="O29">
      <text>
        <t xml:space="preserve">In between Cohorts. 
</t>
      </text>
    </comment>
    <comment authorId="0" ref="P29">
      <text>
        <t xml:space="preserve">In between Cohorts. 
</t>
      </text>
    </comment>
    <comment authorId="0" ref="R29">
      <text>
        <t xml:space="preserve">In between Cohorts. 
</t>
      </text>
    </comment>
    <comment authorId="0" ref="S29">
      <text>
        <t xml:space="preserve">In between Cohorts. 
</t>
      </text>
    </comment>
    <comment authorId="0" ref="T29">
      <text>
        <t xml:space="preserve">In between Cohorts. 
</t>
      </text>
    </comment>
    <comment authorId="0" ref="U29">
      <text>
        <t xml:space="preserve">In between Cohorts. 
</t>
      </text>
    </comment>
    <comment authorId="0" ref="V29">
      <text>
        <t xml:space="preserve">In between Cohorts. 
</t>
      </text>
    </comment>
    <comment authorId="0" ref="W29">
      <text>
        <t xml:space="preserve">In between Cohorts. 
</t>
      </text>
    </comment>
    <comment authorId="0" ref="X29">
      <text>
        <t xml:space="preserve">In between Cohorts. 
</t>
      </text>
    </comment>
    <comment authorId="0" ref="Y29">
      <text>
        <t xml:space="preserve">In between Cohorts. 
</t>
      </text>
    </comment>
    <comment authorId="0" ref="Z29">
      <text>
        <t xml:space="preserve">In between Cohorts. 
</t>
      </text>
    </comment>
    <comment authorId="0" ref="F30">
      <text>
        <t xml:space="preserve">In between Cohorts. 
</t>
      </text>
    </comment>
    <comment authorId="0" ref="G30">
      <text>
        <t xml:space="preserve">In between Cohorts. 
</t>
      </text>
    </comment>
    <comment authorId="0" ref="H30">
      <text>
        <t xml:space="preserve">In between Cohorts. 
</t>
      </text>
    </comment>
    <comment authorId="0" ref="I30">
      <text>
        <t xml:space="preserve">In between Cohorts. 
</t>
      </text>
    </comment>
    <comment authorId="0" ref="J30">
      <text>
        <t xml:space="preserve">In between Cohorts. 
</t>
      </text>
    </comment>
    <comment authorId="0" ref="K30">
      <text>
        <t xml:space="preserve">In between Cohorts. 
</t>
      </text>
    </comment>
    <comment authorId="0" ref="L30">
      <text>
        <t xml:space="preserve">In between Cohorts. 
</t>
      </text>
    </comment>
    <comment authorId="0" ref="M30">
      <text>
        <t xml:space="preserve">In between Cohorts. 
</t>
      </text>
    </comment>
    <comment authorId="0" ref="N30">
      <text>
        <t xml:space="preserve">In between Cohorts. 
</t>
      </text>
    </comment>
    <comment authorId="0" ref="O30">
      <text>
        <t xml:space="preserve">In between Cohorts. 
</t>
      </text>
    </comment>
    <comment authorId="0" ref="P30">
      <text>
        <t xml:space="preserve">In between Cohorts. 
</t>
      </text>
    </comment>
    <comment authorId="0" ref="R30">
      <text>
        <t xml:space="preserve">In between Cohorts. 
</t>
      </text>
    </comment>
    <comment authorId="0" ref="S30">
      <text>
        <t xml:space="preserve">In between Cohorts. 
</t>
      </text>
    </comment>
    <comment authorId="0" ref="T30">
      <text>
        <t xml:space="preserve">In between Cohorts. 
</t>
      </text>
    </comment>
    <comment authorId="0" ref="U30">
      <text>
        <t xml:space="preserve">In between Cohorts. 
</t>
      </text>
    </comment>
    <comment authorId="0" ref="V30">
      <text>
        <t xml:space="preserve">In between Cohorts. 
</t>
      </text>
    </comment>
    <comment authorId="0" ref="W30">
      <text>
        <t xml:space="preserve">In between Cohorts. 
</t>
      </text>
    </comment>
    <comment authorId="0" ref="X30">
      <text>
        <t xml:space="preserve">In between Cohorts. 
</t>
      </text>
    </comment>
    <comment authorId="0" ref="Y30">
      <text>
        <t xml:space="preserve">In between Cohorts. 
</t>
      </text>
    </comment>
    <comment authorId="0" ref="Z30">
      <text>
        <t xml:space="preserve">In between Cohorts. 
</t>
      </text>
    </comment>
    <comment authorId="0" ref="F31">
      <text>
        <t xml:space="preserve">In between Cohorts. 
</t>
      </text>
    </comment>
    <comment authorId="0" ref="G31">
      <text>
        <t xml:space="preserve">In between Cohorts. 
</t>
      </text>
    </comment>
    <comment authorId="0" ref="H31">
      <text>
        <t xml:space="preserve">In between Cohorts. 
</t>
      </text>
    </comment>
    <comment authorId="0" ref="I31">
      <text>
        <t xml:space="preserve">In between Cohorts. 
</t>
      </text>
    </comment>
    <comment authorId="0" ref="J31">
      <text>
        <t xml:space="preserve">In between Cohorts. 
</t>
      </text>
    </comment>
    <comment authorId="0" ref="K31">
      <text>
        <t xml:space="preserve">In between Cohorts. 
</t>
      </text>
    </comment>
    <comment authorId="0" ref="L31">
      <text>
        <t xml:space="preserve">In between Cohorts. 
</t>
      </text>
    </comment>
    <comment authorId="0" ref="M31">
      <text>
        <t xml:space="preserve">In between Cohorts. 
</t>
      </text>
    </comment>
    <comment authorId="0" ref="N31">
      <text>
        <t xml:space="preserve">In between Cohorts. 
</t>
      </text>
    </comment>
    <comment authorId="0" ref="O31">
      <text>
        <t xml:space="preserve">In between Cohorts. 
</t>
      </text>
    </comment>
    <comment authorId="0" ref="P31">
      <text>
        <t xml:space="preserve">In between Cohorts. 
</t>
      </text>
    </comment>
    <comment authorId="0" ref="R31">
      <text>
        <t xml:space="preserve">In between Cohorts. 
</t>
      </text>
    </comment>
    <comment authorId="0" ref="S31">
      <text>
        <t xml:space="preserve">In between Cohorts. 
</t>
      </text>
    </comment>
    <comment authorId="0" ref="T31">
      <text>
        <t xml:space="preserve">In between Cohorts. 
</t>
      </text>
    </comment>
    <comment authorId="0" ref="U31">
      <text>
        <t xml:space="preserve">In between Cohorts. 
</t>
      </text>
    </comment>
    <comment authorId="0" ref="V31">
      <text>
        <t xml:space="preserve">In between Cohorts. 
</t>
      </text>
    </comment>
    <comment authorId="0" ref="W31">
      <text>
        <t xml:space="preserve">In between Cohorts. 
</t>
      </text>
    </comment>
    <comment authorId="0" ref="X31">
      <text>
        <t xml:space="preserve">In between Cohorts. 
</t>
      </text>
    </comment>
    <comment authorId="0" ref="Y31">
      <text>
        <t xml:space="preserve">In between Cohorts. 
</t>
      </text>
    </comment>
    <comment authorId="0" ref="Z31">
      <text>
        <t xml:space="preserve">In between Cohorts. 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In between Cohorts. 
</t>
      </text>
    </comment>
    <comment authorId="0" ref="F8">
      <text>
        <t xml:space="preserve">In between Cohorts. 
</t>
      </text>
    </comment>
    <comment authorId="0" ref="G8">
      <text>
        <t xml:space="preserve">In between Cohorts. 
</t>
      </text>
    </comment>
    <comment authorId="0" ref="H8">
      <text>
        <t xml:space="preserve">In between Cohorts. 
</t>
      </text>
    </comment>
    <comment authorId="0" ref="I8">
      <text>
        <t xml:space="preserve">In between Cohorts. 
</t>
      </text>
    </comment>
    <comment authorId="0" ref="J8">
      <text>
        <t xml:space="preserve">In between Cohorts. 
</t>
      </text>
    </comment>
    <comment authorId="0" ref="K8">
      <text>
        <t xml:space="preserve">In between Cohorts. 
</t>
      </text>
    </comment>
    <comment authorId="0" ref="L8">
      <text>
        <t xml:space="preserve">In between Cohorts. 
</t>
      </text>
    </comment>
    <comment authorId="0" ref="M8">
      <text>
        <t xml:space="preserve">In between Cohorts. 
</t>
      </text>
    </comment>
    <comment authorId="0" ref="N8">
      <text>
        <t xml:space="preserve">In between Cohorts. 
</t>
      </text>
    </comment>
    <comment authorId="0" ref="P8">
      <text>
        <t xml:space="preserve">In between Cohorts. 
</t>
      </text>
    </comment>
    <comment authorId="0" ref="Q8">
      <text>
        <t xml:space="preserve">In between Cohorts. 
</t>
      </text>
    </comment>
    <comment authorId="0" ref="R8">
      <text>
        <t xml:space="preserve">In between Cohorts. 
</t>
      </text>
    </comment>
    <comment authorId="0" ref="S8">
      <text>
        <t xml:space="preserve">In between Cohorts. 
</t>
      </text>
    </comment>
    <comment authorId="0" ref="T8">
      <text>
        <t xml:space="preserve">In between Cohorts. 
</t>
      </text>
    </comment>
    <comment authorId="0" ref="U8">
      <text>
        <t xml:space="preserve">In between Cohorts. 
</t>
      </text>
    </comment>
    <comment authorId="0" ref="V8">
      <text>
        <t xml:space="preserve">In between Cohorts. 
</t>
      </text>
    </comment>
    <comment authorId="0" ref="W8">
      <text>
        <t xml:space="preserve">In between Cohorts. 
</t>
      </text>
    </comment>
    <comment authorId="0" ref="X8">
      <text>
        <t xml:space="preserve">In between Cohorts. 
</t>
      </text>
    </comment>
    <comment authorId="0" ref="E9">
      <text>
        <t xml:space="preserve">In between Cohorts. 
</t>
      </text>
    </comment>
    <comment authorId="0" ref="F9">
      <text>
        <t xml:space="preserve">In between Cohorts. 
</t>
      </text>
    </comment>
    <comment authorId="0" ref="G9">
      <text>
        <t xml:space="preserve">In between Cohorts. 
</t>
      </text>
    </comment>
    <comment authorId="0" ref="H9">
      <text>
        <t xml:space="preserve">In between Cohorts. 
</t>
      </text>
    </comment>
    <comment authorId="0" ref="I9">
      <text>
        <t xml:space="preserve">In between Cohorts. 
</t>
      </text>
    </comment>
    <comment authorId="0" ref="J9">
      <text>
        <t xml:space="preserve">In between Cohorts. 
</t>
      </text>
    </comment>
    <comment authorId="0" ref="K9">
      <text>
        <t xml:space="preserve">In between Cohorts. 
</t>
      </text>
    </comment>
    <comment authorId="0" ref="L9">
      <text>
        <t xml:space="preserve">In between Cohorts. 
</t>
      </text>
    </comment>
    <comment authorId="0" ref="M9">
      <text>
        <t xml:space="preserve">In between Cohorts. 
</t>
      </text>
    </comment>
    <comment authorId="0" ref="N9">
      <text>
        <t xml:space="preserve">In between Cohorts. 
</t>
      </text>
    </comment>
    <comment authorId="0" ref="P9">
      <text>
        <t xml:space="preserve">In between Cohorts. 
</t>
      </text>
    </comment>
    <comment authorId="0" ref="Q9">
      <text>
        <t xml:space="preserve">In between Cohorts. 
</t>
      </text>
    </comment>
    <comment authorId="0" ref="R9">
      <text>
        <t xml:space="preserve">In between Cohorts. 
</t>
      </text>
    </comment>
    <comment authorId="0" ref="S9">
      <text>
        <t xml:space="preserve">In between Cohorts. 
</t>
      </text>
    </comment>
    <comment authorId="0" ref="T9">
      <text>
        <t xml:space="preserve">In between Cohorts. 
</t>
      </text>
    </comment>
    <comment authorId="0" ref="U9">
      <text>
        <t xml:space="preserve">In between Cohorts. 
</t>
      </text>
    </comment>
    <comment authorId="0" ref="V9">
      <text>
        <t xml:space="preserve">In between Cohorts. 
</t>
      </text>
    </comment>
    <comment authorId="0" ref="W9">
      <text>
        <t xml:space="preserve">In between Cohorts. 
</t>
      </text>
    </comment>
    <comment authorId="0" ref="X9">
      <text>
        <t xml:space="preserve">In between Cohorts. 
</t>
      </text>
    </comment>
    <comment authorId="0" ref="E10">
      <text>
        <t xml:space="preserve">In between Cohorts. 
</t>
      </text>
    </comment>
    <comment authorId="0" ref="F10">
      <text>
        <t xml:space="preserve">In between Cohorts. 
</t>
      </text>
    </comment>
    <comment authorId="0" ref="G10">
      <text>
        <t xml:space="preserve">In between Cohorts. 
</t>
      </text>
    </comment>
    <comment authorId="0" ref="H10">
      <text>
        <t xml:space="preserve">In between Cohorts. 
</t>
      </text>
    </comment>
    <comment authorId="0" ref="I10">
      <text>
        <t xml:space="preserve">In between Cohorts. 
</t>
      </text>
    </comment>
    <comment authorId="0" ref="J10">
      <text>
        <t xml:space="preserve">In between Cohorts. 
</t>
      </text>
    </comment>
    <comment authorId="0" ref="K10">
      <text>
        <t xml:space="preserve">In between Cohorts. 
</t>
      </text>
    </comment>
    <comment authorId="0" ref="L10">
      <text>
        <t xml:space="preserve">In between Cohorts. 
</t>
      </text>
    </comment>
    <comment authorId="0" ref="M10">
      <text>
        <t xml:space="preserve">In between Cohorts. 
</t>
      </text>
    </comment>
    <comment authorId="0" ref="N10">
      <text>
        <t xml:space="preserve">In between Cohorts. 
</t>
      </text>
    </comment>
    <comment authorId="0" ref="P10">
      <text>
        <t xml:space="preserve">In between Cohorts. 
</t>
      </text>
    </comment>
    <comment authorId="0" ref="Q10">
      <text>
        <t xml:space="preserve">In between Cohorts. 
</t>
      </text>
    </comment>
    <comment authorId="0" ref="R10">
      <text>
        <t xml:space="preserve">In between Cohorts. 
</t>
      </text>
    </comment>
    <comment authorId="0" ref="S10">
      <text>
        <t xml:space="preserve">In between Cohorts. 
</t>
      </text>
    </comment>
    <comment authorId="0" ref="T10">
      <text>
        <t xml:space="preserve">In between Cohorts. 
</t>
      </text>
    </comment>
    <comment authorId="0" ref="U10">
      <text>
        <t xml:space="preserve">In between Cohorts. 
</t>
      </text>
    </comment>
    <comment authorId="0" ref="V10">
      <text>
        <t xml:space="preserve">In between Cohorts. 
</t>
      </text>
    </comment>
    <comment authorId="0" ref="W10">
      <text>
        <t xml:space="preserve">In between Cohorts. 
</t>
      </text>
    </comment>
    <comment authorId="0" ref="X10">
      <text>
        <t xml:space="preserve">In between Cohorts. 
</t>
      </text>
    </comment>
    <comment authorId="0" ref="E11">
      <text>
        <t xml:space="preserve">In between Cohorts. 
</t>
      </text>
    </comment>
    <comment authorId="0" ref="F11">
      <text>
        <t xml:space="preserve">In between Cohorts. 
</t>
      </text>
    </comment>
    <comment authorId="0" ref="G11">
      <text>
        <t xml:space="preserve">In between Cohorts. 
</t>
      </text>
    </comment>
    <comment authorId="0" ref="H11">
      <text>
        <t xml:space="preserve">In between Cohorts. 
</t>
      </text>
    </comment>
    <comment authorId="0" ref="I11">
      <text>
        <t xml:space="preserve">In between Cohorts. 
</t>
      </text>
    </comment>
    <comment authorId="0" ref="J11">
      <text>
        <t xml:space="preserve">In between Cohorts. 
</t>
      </text>
    </comment>
    <comment authorId="0" ref="K11">
      <text>
        <t xml:space="preserve">In between Cohorts. 
</t>
      </text>
    </comment>
    <comment authorId="0" ref="L11">
      <text>
        <t xml:space="preserve">In between Cohorts. 
</t>
      </text>
    </comment>
    <comment authorId="0" ref="M11">
      <text>
        <t xml:space="preserve">In between Cohorts. 
</t>
      </text>
    </comment>
    <comment authorId="0" ref="N11">
      <text>
        <t xml:space="preserve">In between Cohorts. 
</t>
      </text>
    </comment>
    <comment authorId="0" ref="P11">
      <text>
        <t xml:space="preserve">In between Cohorts. 
</t>
      </text>
    </comment>
    <comment authorId="0" ref="Q11">
      <text>
        <t xml:space="preserve">In between Cohorts. 
</t>
      </text>
    </comment>
    <comment authorId="0" ref="R11">
      <text>
        <t xml:space="preserve">In between Cohorts. 
</t>
      </text>
    </comment>
    <comment authorId="0" ref="S11">
      <text>
        <t xml:space="preserve">In between Cohorts. 
</t>
      </text>
    </comment>
    <comment authorId="0" ref="T11">
      <text>
        <t xml:space="preserve">In between Cohorts. 
</t>
      </text>
    </comment>
    <comment authorId="0" ref="U11">
      <text>
        <t xml:space="preserve">In between Cohorts. 
</t>
      </text>
    </comment>
    <comment authorId="0" ref="V11">
      <text>
        <t xml:space="preserve">In between Cohorts. 
</t>
      </text>
    </comment>
    <comment authorId="0" ref="W11">
      <text>
        <t xml:space="preserve">In between Cohorts. 
</t>
      </text>
    </comment>
    <comment authorId="0" ref="X11">
      <text>
        <t xml:space="preserve">In between Cohorts. 
</t>
      </text>
    </comment>
    <comment authorId="0" ref="E12">
      <text>
        <t xml:space="preserve">In between Cohorts. 
</t>
      </text>
    </comment>
    <comment authorId="0" ref="F12">
      <text>
        <t xml:space="preserve">In between Cohorts. 
</t>
      </text>
    </comment>
    <comment authorId="0" ref="G12">
      <text>
        <t xml:space="preserve">In between Cohorts. 
</t>
      </text>
    </comment>
    <comment authorId="0" ref="H12">
      <text>
        <t xml:space="preserve">In between Cohorts. 
</t>
      </text>
    </comment>
    <comment authorId="0" ref="I12">
      <text>
        <t xml:space="preserve">In between Cohorts. 
</t>
      </text>
    </comment>
    <comment authorId="0" ref="J12">
      <text>
        <t xml:space="preserve">In between Cohorts. 
</t>
      </text>
    </comment>
    <comment authorId="0" ref="K12">
      <text>
        <t xml:space="preserve">In between Cohorts. 
</t>
      </text>
    </comment>
    <comment authorId="0" ref="L12">
      <text>
        <t xml:space="preserve">In between Cohorts. 
</t>
      </text>
    </comment>
    <comment authorId="0" ref="M12">
      <text>
        <t xml:space="preserve">In between Cohorts. 
</t>
      </text>
    </comment>
    <comment authorId="0" ref="N12">
      <text>
        <t xml:space="preserve">In between Cohorts. 
</t>
      </text>
    </comment>
    <comment authorId="0" ref="P12">
      <text>
        <t xml:space="preserve">In between Cohorts. 
</t>
      </text>
    </comment>
    <comment authorId="0" ref="Q12">
      <text>
        <t xml:space="preserve">In between Cohorts. 
</t>
      </text>
    </comment>
    <comment authorId="0" ref="R12">
      <text>
        <t xml:space="preserve">In between Cohorts. 
</t>
      </text>
    </comment>
    <comment authorId="0" ref="S12">
      <text>
        <t xml:space="preserve">In between Cohorts. 
</t>
      </text>
    </comment>
    <comment authorId="0" ref="T12">
      <text>
        <t xml:space="preserve">In between Cohorts. 
</t>
      </text>
    </comment>
    <comment authorId="0" ref="U12">
      <text>
        <t xml:space="preserve">In between Cohorts. 
</t>
      </text>
    </comment>
    <comment authorId="0" ref="V12">
      <text>
        <t xml:space="preserve">In between Cohorts. 
</t>
      </text>
    </comment>
    <comment authorId="0" ref="W12">
      <text>
        <t xml:space="preserve">In between Cohorts. 
</t>
      </text>
    </comment>
    <comment authorId="0" ref="X12">
      <text>
        <t xml:space="preserve">In between Cohorts. 
</t>
      </text>
    </comment>
    <comment authorId="0" ref="E13">
      <text>
        <t xml:space="preserve">In between Cohorts. 
</t>
      </text>
    </comment>
    <comment authorId="0" ref="F13">
      <text>
        <t xml:space="preserve">In between Cohorts. 
</t>
      </text>
    </comment>
    <comment authorId="0" ref="G13">
      <text>
        <t xml:space="preserve">In between Cohorts. 
</t>
      </text>
    </comment>
    <comment authorId="0" ref="H13">
      <text>
        <t xml:space="preserve">In between Cohorts. 
</t>
      </text>
    </comment>
    <comment authorId="0" ref="I13">
      <text>
        <t xml:space="preserve">In between Cohorts. 
</t>
      </text>
    </comment>
    <comment authorId="0" ref="J13">
      <text>
        <t xml:space="preserve">In between Cohorts. 
</t>
      </text>
    </comment>
    <comment authorId="0" ref="K13">
      <text>
        <t xml:space="preserve">In between Cohorts. 
</t>
      </text>
    </comment>
    <comment authorId="0" ref="L13">
      <text>
        <t xml:space="preserve">In between Cohorts. 
</t>
      </text>
    </comment>
    <comment authorId="0" ref="M13">
      <text>
        <t xml:space="preserve">In between Cohorts. 
</t>
      </text>
    </comment>
    <comment authorId="0" ref="N13">
      <text>
        <t xml:space="preserve">In between Cohorts. 
</t>
      </text>
    </comment>
    <comment authorId="0" ref="P13">
      <text>
        <t xml:space="preserve">In between Cohorts. 
</t>
      </text>
    </comment>
    <comment authorId="0" ref="Q13">
      <text>
        <t xml:space="preserve">In between Cohorts. 
</t>
      </text>
    </comment>
    <comment authorId="0" ref="R13">
      <text>
        <t xml:space="preserve">In between Cohorts. 
</t>
      </text>
    </comment>
    <comment authorId="0" ref="S13">
      <text>
        <t xml:space="preserve">In between Cohorts. 
</t>
      </text>
    </comment>
    <comment authorId="0" ref="T13">
      <text>
        <t xml:space="preserve">In between Cohorts. 
</t>
      </text>
    </comment>
    <comment authorId="0" ref="U13">
      <text>
        <t xml:space="preserve">In between Cohorts. 
</t>
      </text>
    </comment>
    <comment authorId="0" ref="V13">
      <text>
        <t xml:space="preserve">In between Cohorts. 
</t>
      </text>
    </comment>
    <comment authorId="0" ref="W13">
      <text>
        <t xml:space="preserve">In between Cohorts. 
</t>
      </text>
    </comment>
    <comment authorId="0" ref="X13">
      <text>
        <t xml:space="preserve">In between Cohorts. 
</t>
      </text>
    </comment>
    <comment authorId="0" ref="E14">
      <text>
        <t xml:space="preserve">In between Cohorts. 
</t>
      </text>
    </comment>
    <comment authorId="0" ref="F14">
      <text>
        <t xml:space="preserve">In between Cohorts. 
</t>
      </text>
    </comment>
    <comment authorId="0" ref="G14">
      <text>
        <t xml:space="preserve">In between Cohorts. 
</t>
      </text>
    </comment>
    <comment authorId="0" ref="H14">
      <text>
        <t xml:space="preserve">In between Cohorts. 
</t>
      </text>
    </comment>
    <comment authorId="0" ref="I14">
      <text>
        <t xml:space="preserve">In between Cohorts. 
</t>
      </text>
    </comment>
    <comment authorId="0" ref="J14">
      <text>
        <t xml:space="preserve">In between Cohorts. 
</t>
      </text>
    </comment>
    <comment authorId="0" ref="K14">
      <text>
        <t xml:space="preserve">In between Cohorts. 
</t>
      </text>
    </comment>
    <comment authorId="0" ref="L14">
      <text>
        <t xml:space="preserve">In between Cohorts. 
</t>
      </text>
    </comment>
    <comment authorId="0" ref="M14">
      <text>
        <t xml:space="preserve">In between Cohorts. 
</t>
      </text>
    </comment>
    <comment authorId="0" ref="N14">
      <text>
        <t xml:space="preserve">In between Cohorts. 
</t>
      </text>
    </comment>
    <comment authorId="0" ref="P14">
      <text>
        <t xml:space="preserve">In between Cohorts. 
</t>
      </text>
    </comment>
    <comment authorId="0" ref="Q14">
      <text>
        <t xml:space="preserve">In between Cohorts. 
</t>
      </text>
    </comment>
    <comment authorId="0" ref="R14">
      <text>
        <t xml:space="preserve">In between Cohorts. 
</t>
      </text>
    </comment>
    <comment authorId="0" ref="S14">
      <text>
        <t xml:space="preserve">In between Cohorts. 
</t>
      </text>
    </comment>
    <comment authorId="0" ref="T14">
      <text>
        <t xml:space="preserve">In between Cohorts. 
</t>
      </text>
    </comment>
    <comment authorId="0" ref="U14">
      <text>
        <t xml:space="preserve">In between Cohorts. 
</t>
      </text>
    </comment>
    <comment authorId="0" ref="V14">
      <text>
        <t xml:space="preserve">In between Cohorts. 
</t>
      </text>
    </comment>
    <comment authorId="0" ref="W14">
      <text>
        <t xml:space="preserve">In between Cohorts. 
</t>
      </text>
    </comment>
    <comment authorId="0" ref="X14">
      <text>
        <t xml:space="preserve">In between Cohorts. 
</t>
      </text>
    </comment>
    <comment authorId="0" ref="E15">
      <text>
        <t xml:space="preserve">In between Cohorts. 
</t>
      </text>
    </comment>
    <comment authorId="0" ref="F15">
      <text>
        <t xml:space="preserve">In between Cohorts. 
</t>
      </text>
    </comment>
    <comment authorId="0" ref="G15">
      <text>
        <t xml:space="preserve">In between Cohorts. 
</t>
      </text>
    </comment>
    <comment authorId="0" ref="H15">
      <text>
        <t xml:space="preserve">In between Cohorts. 
</t>
      </text>
    </comment>
    <comment authorId="0" ref="I15">
      <text>
        <t xml:space="preserve">In between Cohorts. 
</t>
      </text>
    </comment>
    <comment authorId="0" ref="J15">
      <text>
        <t xml:space="preserve">In between Cohorts. 
</t>
      </text>
    </comment>
    <comment authorId="0" ref="K15">
      <text>
        <t xml:space="preserve">In between Cohorts. 
</t>
      </text>
    </comment>
    <comment authorId="0" ref="L15">
      <text>
        <t xml:space="preserve">In between Cohorts. 
</t>
      </text>
    </comment>
    <comment authorId="0" ref="M15">
      <text>
        <t xml:space="preserve">In between Cohorts. 
</t>
      </text>
    </comment>
    <comment authorId="0" ref="N15">
      <text>
        <t xml:space="preserve">In between Cohorts. 
</t>
      </text>
    </comment>
    <comment authorId="0" ref="P15">
      <text>
        <t xml:space="preserve">In between Cohorts. 
</t>
      </text>
    </comment>
    <comment authorId="0" ref="Q15">
      <text>
        <t xml:space="preserve">In between Cohorts. 
</t>
      </text>
    </comment>
    <comment authorId="0" ref="R15">
      <text>
        <t xml:space="preserve">In between Cohorts. 
</t>
      </text>
    </comment>
    <comment authorId="0" ref="S15">
      <text>
        <t xml:space="preserve">In between Cohorts. 
</t>
      </text>
    </comment>
    <comment authorId="0" ref="T15">
      <text>
        <t xml:space="preserve">In between Cohorts. 
</t>
      </text>
    </comment>
    <comment authorId="0" ref="U15">
      <text>
        <t xml:space="preserve">In between Cohorts. 
</t>
      </text>
    </comment>
    <comment authorId="0" ref="V15">
      <text>
        <t xml:space="preserve">In between Cohorts. 
</t>
      </text>
    </comment>
    <comment authorId="0" ref="W15">
      <text>
        <t xml:space="preserve">In between Cohorts. 
</t>
      </text>
    </comment>
    <comment authorId="0" ref="X15">
      <text>
        <t xml:space="preserve">In between Cohorts. 
</t>
      </text>
    </comment>
    <comment authorId="0" ref="E16">
      <text>
        <t xml:space="preserve">In between Cohorts. 
</t>
      </text>
    </comment>
    <comment authorId="0" ref="F16">
      <text>
        <t xml:space="preserve">In between Cohorts. 
</t>
      </text>
    </comment>
    <comment authorId="0" ref="G16">
      <text>
        <t xml:space="preserve">In between Cohorts. 
</t>
      </text>
    </comment>
    <comment authorId="0" ref="H16">
      <text>
        <t xml:space="preserve">In between Cohorts. 
</t>
      </text>
    </comment>
    <comment authorId="0" ref="I16">
      <text>
        <t xml:space="preserve">In between Cohorts. 
</t>
      </text>
    </comment>
    <comment authorId="0" ref="J16">
      <text>
        <t xml:space="preserve">In between Cohorts. 
</t>
      </text>
    </comment>
    <comment authorId="0" ref="K16">
      <text>
        <t xml:space="preserve">In between Cohorts. 
</t>
      </text>
    </comment>
    <comment authorId="0" ref="L16">
      <text>
        <t xml:space="preserve">In between Cohorts. 
</t>
      </text>
    </comment>
    <comment authorId="0" ref="M16">
      <text>
        <t xml:space="preserve">In between Cohorts. 
</t>
      </text>
    </comment>
    <comment authorId="0" ref="N16">
      <text>
        <t xml:space="preserve">In between Cohorts. 
</t>
      </text>
    </comment>
    <comment authorId="0" ref="P16">
      <text>
        <t xml:space="preserve">In between Cohorts. 
</t>
      </text>
    </comment>
    <comment authorId="0" ref="Q16">
      <text>
        <t xml:space="preserve">In between Cohorts. 
</t>
      </text>
    </comment>
    <comment authorId="0" ref="R16">
      <text>
        <t xml:space="preserve">In between Cohorts. 
</t>
      </text>
    </comment>
    <comment authorId="0" ref="S16">
      <text>
        <t xml:space="preserve">In between Cohorts. 
</t>
      </text>
    </comment>
    <comment authorId="0" ref="T16">
      <text>
        <t xml:space="preserve">In between Cohorts. 
</t>
      </text>
    </comment>
    <comment authorId="0" ref="U16">
      <text>
        <t xml:space="preserve">In between Cohorts. 
</t>
      </text>
    </comment>
    <comment authorId="0" ref="V16">
      <text>
        <t xml:space="preserve">In between Cohorts. 
</t>
      </text>
    </comment>
    <comment authorId="0" ref="W16">
      <text>
        <t xml:space="preserve">In between Cohorts. 
</t>
      </text>
    </comment>
    <comment authorId="0" ref="X16">
      <text>
        <t xml:space="preserve">In between Cohorts. 
</t>
      </text>
    </comment>
    <comment authorId="0" ref="E17">
      <text>
        <t xml:space="preserve">In between Cohorts. 
</t>
      </text>
    </comment>
    <comment authorId="0" ref="F17">
      <text>
        <t xml:space="preserve">In between Cohorts. 
</t>
      </text>
    </comment>
    <comment authorId="0" ref="G17">
      <text>
        <t xml:space="preserve">In between Cohorts. 
</t>
      </text>
    </comment>
    <comment authorId="0" ref="H17">
      <text>
        <t xml:space="preserve">In between Cohorts. 
</t>
      </text>
    </comment>
    <comment authorId="0" ref="I17">
      <text>
        <t xml:space="preserve">In between Cohorts. 
</t>
      </text>
    </comment>
    <comment authorId="0" ref="J17">
      <text>
        <t xml:space="preserve">In between Cohorts. 
</t>
      </text>
    </comment>
    <comment authorId="0" ref="K17">
      <text>
        <t xml:space="preserve">In between Cohorts. 
</t>
      </text>
    </comment>
    <comment authorId="0" ref="L17">
      <text>
        <t xml:space="preserve">In between Cohorts. 
</t>
      </text>
    </comment>
    <comment authorId="0" ref="M17">
      <text>
        <t xml:space="preserve">In between Cohorts. 
</t>
      </text>
    </comment>
    <comment authorId="0" ref="N17">
      <text>
        <t xml:space="preserve">In between Cohorts. 
</t>
      </text>
    </comment>
    <comment authorId="0" ref="P17">
      <text>
        <t xml:space="preserve">In between Cohorts. 
</t>
      </text>
    </comment>
    <comment authorId="0" ref="Q17">
      <text>
        <t xml:space="preserve">In between Cohorts. 
</t>
      </text>
    </comment>
    <comment authorId="0" ref="R17">
      <text>
        <t xml:space="preserve">In between Cohorts. 
</t>
      </text>
    </comment>
    <comment authorId="0" ref="S17">
      <text>
        <t xml:space="preserve">In between Cohorts. 
</t>
      </text>
    </comment>
    <comment authorId="0" ref="T17">
      <text>
        <t xml:space="preserve">In between Cohorts. 
</t>
      </text>
    </comment>
    <comment authorId="0" ref="U17">
      <text>
        <t xml:space="preserve">In between Cohorts. 
</t>
      </text>
    </comment>
    <comment authorId="0" ref="V17">
      <text>
        <t xml:space="preserve">In between Cohorts. 
</t>
      </text>
    </comment>
    <comment authorId="0" ref="W17">
      <text>
        <t xml:space="preserve">In between Cohorts. 
</t>
      </text>
    </comment>
    <comment authorId="0" ref="X17">
      <text>
        <t xml:space="preserve">In between Cohorts. 
</t>
      </text>
    </comment>
    <comment authorId="0" ref="E18">
      <text>
        <t xml:space="preserve">In between Cohorts. 
</t>
      </text>
    </comment>
    <comment authorId="0" ref="F18">
      <text>
        <t xml:space="preserve">In between Cohorts. 
</t>
      </text>
    </comment>
    <comment authorId="0" ref="G18">
      <text>
        <t xml:space="preserve">In between Cohorts. 
</t>
      </text>
    </comment>
    <comment authorId="0" ref="H18">
      <text>
        <t xml:space="preserve">In between Cohorts. 
</t>
      </text>
    </comment>
    <comment authorId="0" ref="I18">
      <text>
        <t xml:space="preserve">In between Cohorts. 
</t>
      </text>
    </comment>
    <comment authorId="0" ref="J18">
      <text>
        <t xml:space="preserve">In between Cohorts. 
</t>
      </text>
    </comment>
    <comment authorId="0" ref="K18">
      <text>
        <t xml:space="preserve">In between Cohorts. 
</t>
      </text>
    </comment>
    <comment authorId="0" ref="L18">
      <text>
        <t xml:space="preserve">In between Cohorts. 
</t>
      </text>
    </comment>
    <comment authorId="0" ref="M18">
      <text>
        <t xml:space="preserve">In between Cohorts. 
</t>
      </text>
    </comment>
    <comment authorId="0" ref="N18">
      <text>
        <t xml:space="preserve">In between Cohorts. 
</t>
      </text>
    </comment>
    <comment authorId="0" ref="P18">
      <text>
        <t xml:space="preserve">In between Cohorts. 
</t>
      </text>
    </comment>
    <comment authorId="0" ref="Q18">
      <text>
        <t xml:space="preserve">In between Cohorts. 
</t>
      </text>
    </comment>
    <comment authorId="0" ref="R18">
      <text>
        <t xml:space="preserve">In between Cohorts. 
</t>
      </text>
    </comment>
    <comment authorId="0" ref="S18">
      <text>
        <t xml:space="preserve">In between Cohorts. 
</t>
      </text>
    </comment>
    <comment authorId="0" ref="T18">
      <text>
        <t xml:space="preserve">In between Cohorts. 
</t>
      </text>
    </comment>
    <comment authorId="0" ref="U18">
      <text>
        <t xml:space="preserve">In between Cohorts. 
</t>
      </text>
    </comment>
    <comment authorId="0" ref="V18">
      <text>
        <t xml:space="preserve">In between Cohorts. 
</t>
      </text>
    </comment>
    <comment authorId="0" ref="W18">
      <text>
        <t xml:space="preserve">In between Cohorts. 
</t>
      </text>
    </comment>
    <comment authorId="0" ref="X18">
      <text>
        <t xml:space="preserve">In between Cohorts. 
</t>
      </text>
    </comment>
    <comment authorId="0" ref="E19">
      <text>
        <t xml:space="preserve">In between Cohorts. 
</t>
      </text>
    </comment>
    <comment authorId="0" ref="F19">
      <text>
        <t xml:space="preserve">In between Cohorts. 
</t>
      </text>
    </comment>
    <comment authorId="0" ref="G19">
      <text>
        <t xml:space="preserve">In between Cohorts. 
</t>
      </text>
    </comment>
    <comment authorId="0" ref="H19">
      <text>
        <t xml:space="preserve">In between Cohorts. 
</t>
      </text>
    </comment>
    <comment authorId="0" ref="I19">
      <text>
        <t xml:space="preserve">In between Cohorts. 
</t>
      </text>
    </comment>
    <comment authorId="0" ref="J19">
      <text>
        <t xml:space="preserve">In between Cohorts. 
</t>
      </text>
    </comment>
    <comment authorId="0" ref="K19">
      <text>
        <t xml:space="preserve">In between Cohorts. 
</t>
      </text>
    </comment>
    <comment authorId="0" ref="L19">
      <text>
        <t xml:space="preserve">In between Cohorts. 
</t>
      </text>
    </comment>
    <comment authorId="0" ref="M19">
      <text>
        <t xml:space="preserve">In between Cohorts. 
</t>
      </text>
    </comment>
    <comment authorId="0" ref="N19">
      <text>
        <t xml:space="preserve">In between Cohorts. 
</t>
      </text>
    </comment>
    <comment authorId="0" ref="P19">
      <text>
        <t xml:space="preserve">In between Cohorts. 
</t>
      </text>
    </comment>
    <comment authorId="0" ref="Q19">
      <text>
        <t xml:space="preserve">In between Cohorts. 
</t>
      </text>
    </comment>
    <comment authorId="0" ref="R19">
      <text>
        <t xml:space="preserve">In between Cohorts. 
</t>
      </text>
    </comment>
    <comment authorId="0" ref="S19">
      <text>
        <t xml:space="preserve">In between Cohorts. 
</t>
      </text>
    </comment>
    <comment authorId="0" ref="T19">
      <text>
        <t xml:space="preserve">In between Cohorts. 
</t>
      </text>
    </comment>
    <comment authorId="0" ref="U19">
      <text>
        <t xml:space="preserve">In between Cohorts. 
</t>
      </text>
    </comment>
    <comment authorId="0" ref="V19">
      <text>
        <t xml:space="preserve">In between Cohorts. 
</t>
      </text>
    </comment>
    <comment authorId="0" ref="W19">
      <text>
        <t xml:space="preserve">In between Cohorts. 
</t>
      </text>
    </comment>
    <comment authorId="0" ref="X19">
      <text>
        <t xml:space="preserve">In between Cohorts. 
</t>
      </text>
    </comment>
    <comment authorId="0" ref="E20">
      <text>
        <t xml:space="preserve">In between Cohorts. 
</t>
      </text>
    </comment>
    <comment authorId="0" ref="F20">
      <text>
        <t xml:space="preserve">In between Cohorts. 
</t>
      </text>
    </comment>
    <comment authorId="0" ref="G20">
      <text>
        <t xml:space="preserve">In between Cohorts. 
</t>
      </text>
    </comment>
    <comment authorId="0" ref="H20">
      <text>
        <t xml:space="preserve">In between Cohorts. 
</t>
      </text>
    </comment>
    <comment authorId="0" ref="I20">
      <text>
        <t xml:space="preserve">In between Cohorts. 
</t>
      </text>
    </comment>
    <comment authorId="0" ref="J20">
      <text>
        <t xml:space="preserve">In between Cohorts. 
</t>
      </text>
    </comment>
    <comment authorId="0" ref="K20">
      <text>
        <t xml:space="preserve">In between Cohorts. 
</t>
      </text>
    </comment>
    <comment authorId="0" ref="L20">
      <text>
        <t xml:space="preserve">In between Cohorts. 
</t>
      </text>
    </comment>
    <comment authorId="0" ref="M20">
      <text>
        <t xml:space="preserve">In between Cohorts. 
</t>
      </text>
    </comment>
    <comment authorId="0" ref="N20">
      <text>
        <t xml:space="preserve">In between Cohorts. 
</t>
      </text>
    </comment>
    <comment authorId="0" ref="P20">
      <text>
        <t xml:space="preserve">In between Cohorts. 
</t>
      </text>
    </comment>
    <comment authorId="0" ref="Q20">
      <text>
        <t xml:space="preserve">In between Cohorts. 
</t>
      </text>
    </comment>
    <comment authorId="0" ref="R20">
      <text>
        <t xml:space="preserve">In between Cohorts. 
</t>
      </text>
    </comment>
    <comment authorId="0" ref="S20">
      <text>
        <t xml:space="preserve">In between Cohorts. 
</t>
      </text>
    </comment>
    <comment authorId="0" ref="T20">
      <text>
        <t xml:space="preserve">In between Cohorts. 
</t>
      </text>
    </comment>
    <comment authorId="0" ref="U20">
      <text>
        <t xml:space="preserve">In between Cohorts. 
</t>
      </text>
    </comment>
    <comment authorId="0" ref="V20">
      <text>
        <t xml:space="preserve">In between Cohorts. 
</t>
      </text>
    </comment>
    <comment authorId="0" ref="W20">
      <text>
        <t xml:space="preserve">In between Cohorts. 
</t>
      </text>
    </comment>
    <comment authorId="0" ref="X20">
      <text>
        <t xml:space="preserve">In between Cohorts. 
</t>
      </text>
    </comment>
    <comment authorId="0" ref="E21">
      <text>
        <t xml:space="preserve">In between Cohorts. 
</t>
      </text>
    </comment>
    <comment authorId="0" ref="F21">
      <text>
        <t xml:space="preserve">In between Cohorts. 
</t>
      </text>
    </comment>
    <comment authorId="0" ref="G21">
      <text>
        <t xml:space="preserve">In between Cohorts. 
</t>
      </text>
    </comment>
    <comment authorId="0" ref="H21">
      <text>
        <t xml:space="preserve">In between Cohorts. 
</t>
      </text>
    </comment>
    <comment authorId="0" ref="I21">
      <text>
        <t xml:space="preserve">In between Cohorts. 
</t>
      </text>
    </comment>
    <comment authorId="0" ref="J21">
      <text>
        <t xml:space="preserve">In between Cohorts. 
</t>
      </text>
    </comment>
    <comment authorId="0" ref="K21">
      <text>
        <t xml:space="preserve">In between Cohorts. 
</t>
      </text>
    </comment>
    <comment authorId="0" ref="L21">
      <text>
        <t xml:space="preserve">In between Cohorts. 
</t>
      </text>
    </comment>
    <comment authorId="0" ref="M21">
      <text>
        <t xml:space="preserve">In between Cohorts. 
</t>
      </text>
    </comment>
    <comment authorId="0" ref="N21">
      <text>
        <t xml:space="preserve">In between Cohorts. 
</t>
      </text>
    </comment>
    <comment authorId="0" ref="P21">
      <text>
        <t xml:space="preserve">In between Cohorts. 
</t>
      </text>
    </comment>
    <comment authorId="0" ref="Q21">
      <text>
        <t xml:space="preserve">In between Cohorts. 
</t>
      </text>
    </comment>
    <comment authorId="0" ref="R21">
      <text>
        <t xml:space="preserve">In between Cohorts. 
</t>
      </text>
    </comment>
    <comment authorId="0" ref="S21">
      <text>
        <t xml:space="preserve">In between Cohorts. 
</t>
      </text>
    </comment>
    <comment authorId="0" ref="T21">
      <text>
        <t xml:space="preserve">In between Cohorts. 
</t>
      </text>
    </comment>
    <comment authorId="0" ref="U21">
      <text>
        <t xml:space="preserve">In between Cohorts. 
</t>
      </text>
    </comment>
    <comment authorId="0" ref="V21">
      <text>
        <t xml:space="preserve">In between Cohorts. 
</t>
      </text>
    </comment>
    <comment authorId="0" ref="W21">
      <text>
        <t xml:space="preserve">In between Cohorts. 
</t>
      </text>
    </comment>
    <comment authorId="0" ref="X21">
      <text>
        <t xml:space="preserve">In between Cohorts. 
</t>
      </text>
    </comment>
    <comment authorId="0" ref="E22">
      <text>
        <t xml:space="preserve">In between Cohorts. 
</t>
      </text>
    </comment>
    <comment authorId="0" ref="F22">
      <text>
        <t xml:space="preserve">In between Cohorts. 
</t>
      </text>
    </comment>
    <comment authorId="0" ref="G22">
      <text>
        <t xml:space="preserve">In between Cohorts. 
</t>
      </text>
    </comment>
    <comment authorId="0" ref="H22">
      <text>
        <t xml:space="preserve">In between Cohorts. 
</t>
      </text>
    </comment>
    <comment authorId="0" ref="I22">
      <text>
        <t xml:space="preserve">In between Cohorts. 
</t>
      </text>
    </comment>
    <comment authorId="0" ref="J22">
      <text>
        <t xml:space="preserve">In between Cohorts. 
</t>
      </text>
    </comment>
    <comment authorId="0" ref="K22">
      <text>
        <t xml:space="preserve">In between Cohorts. 
</t>
      </text>
    </comment>
    <comment authorId="0" ref="L22">
      <text>
        <t xml:space="preserve">In between Cohorts. 
</t>
      </text>
    </comment>
    <comment authorId="0" ref="M22">
      <text>
        <t xml:space="preserve">In between Cohorts. 
</t>
      </text>
    </comment>
    <comment authorId="0" ref="N22">
      <text>
        <t xml:space="preserve">In between Cohorts. 
</t>
      </text>
    </comment>
    <comment authorId="0" ref="P22">
      <text>
        <t xml:space="preserve">In between Cohorts. 
</t>
      </text>
    </comment>
    <comment authorId="0" ref="Q22">
      <text>
        <t xml:space="preserve">In between Cohorts. 
</t>
      </text>
    </comment>
    <comment authorId="0" ref="R22">
      <text>
        <t xml:space="preserve">In between Cohorts. 
</t>
      </text>
    </comment>
    <comment authorId="0" ref="S22">
      <text>
        <t xml:space="preserve">In between Cohorts. 
</t>
      </text>
    </comment>
    <comment authorId="0" ref="T22">
      <text>
        <t xml:space="preserve">In between Cohorts. 
</t>
      </text>
    </comment>
    <comment authorId="0" ref="U22">
      <text>
        <t xml:space="preserve">In between Cohorts. 
</t>
      </text>
    </comment>
    <comment authorId="0" ref="V22">
      <text>
        <t xml:space="preserve">In between Cohorts. 
</t>
      </text>
    </comment>
    <comment authorId="0" ref="W22">
      <text>
        <t xml:space="preserve">In between Cohorts. 
</t>
      </text>
    </comment>
    <comment authorId="0" ref="X22">
      <text>
        <t xml:space="preserve">In between Cohorts. 
</t>
      </text>
    </comment>
    <comment authorId="0" ref="E23">
      <text>
        <t xml:space="preserve">In between Cohorts. 
</t>
      </text>
    </comment>
    <comment authorId="0" ref="F23">
      <text>
        <t xml:space="preserve">In between Cohorts. 
</t>
      </text>
    </comment>
    <comment authorId="0" ref="G23">
      <text>
        <t xml:space="preserve">In between Cohorts. 
</t>
      </text>
    </comment>
    <comment authorId="0" ref="H23">
      <text>
        <t xml:space="preserve">In between Cohorts. 
</t>
      </text>
    </comment>
    <comment authorId="0" ref="I23">
      <text>
        <t xml:space="preserve">In between Cohorts. 
</t>
      </text>
    </comment>
    <comment authorId="0" ref="J23">
      <text>
        <t xml:space="preserve">In between Cohorts. 
</t>
      </text>
    </comment>
    <comment authorId="0" ref="K23">
      <text>
        <t xml:space="preserve">In between Cohorts. 
</t>
      </text>
    </comment>
    <comment authorId="0" ref="L23">
      <text>
        <t xml:space="preserve">In between Cohorts. 
</t>
      </text>
    </comment>
    <comment authorId="0" ref="M23">
      <text>
        <t xml:space="preserve">In between Cohorts. 
</t>
      </text>
    </comment>
    <comment authorId="0" ref="N23">
      <text>
        <t xml:space="preserve">In between Cohorts. 
</t>
      </text>
    </comment>
    <comment authorId="0" ref="P23">
      <text>
        <t xml:space="preserve">In between Cohorts. 
</t>
      </text>
    </comment>
    <comment authorId="0" ref="Q23">
      <text>
        <t xml:space="preserve">In between Cohorts. 
</t>
      </text>
    </comment>
    <comment authorId="0" ref="R23">
      <text>
        <t xml:space="preserve">In between Cohorts. 
</t>
      </text>
    </comment>
    <comment authorId="0" ref="S23">
      <text>
        <t xml:space="preserve">In between Cohorts. 
</t>
      </text>
    </comment>
    <comment authorId="0" ref="T23">
      <text>
        <t xml:space="preserve">In between Cohorts. 
</t>
      </text>
    </comment>
    <comment authorId="0" ref="U23">
      <text>
        <t xml:space="preserve">In between Cohorts. 
</t>
      </text>
    </comment>
    <comment authorId="0" ref="V23">
      <text>
        <t xml:space="preserve">In between Cohorts. 
</t>
      </text>
    </comment>
    <comment authorId="0" ref="W23">
      <text>
        <t xml:space="preserve">In between Cohorts. 
</t>
      </text>
    </comment>
    <comment authorId="0" ref="X23">
      <text>
        <t xml:space="preserve">In between Cohorts. 
</t>
      </text>
    </comment>
    <comment authorId="0" ref="E24">
      <text>
        <t xml:space="preserve">In between Cohorts. 
</t>
      </text>
    </comment>
    <comment authorId="0" ref="F24">
      <text>
        <t xml:space="preserve">In between Cohorts. 
</t>
      </text>
    </comment>
    <comment authorId="0" ref="G24">
      <text>
        <t xml:space="preserve">In between Cohorts. 
</t>
      </text>
    </comment>
    <comment authorId="0" ref="H24">
      <text>
        <t xml:space="preserve">In between Cohorts. 
</t>
      </text>
    </comment>
    <comment authorId="0" ref="I24">
      <text>
        <t xml:space="preserve">In between Cohorts. 
</t>
      </text>
    </comment>
    <comment authorId="0" ref="J24">
      <text>
        <t xml:space="preserve">In between Cohorts. 
</t>
      </text>
    </comment>
    <comment authorId="0" ref="K24">
      <text>
        <t xml:space="preserve">In between Cohorts. 
</t>
      </text>
    </comment>
    <comment authorId="0" ref="L24">
      <text>
        <t xml:space="preserve">In between Cohorts. 
</t>
      </text>
    </comment>
    <comment authorId="0" ref="M24">
      <text>
        <t xml:space="preserve">In between Cohorts. 
</t>
      </text>
    </comment>
    <comment authorId="0" ref="N24">
      <text>
        <t xml:space="preserve">In between Cohorts. 
</t>
      </text>
    </comment>
    <comment authorId="0" ref="P24">
      <text>
        <t xml:space="preserve">In between Cohorts. 
</t>
      </text>
    </comment>
    <comment authorId="0" ref="Q24">
      <text>
        <t xml:space="preserve">In between Cohorts. 
</t>
      </text>
    </comment>
    <comment authorId="0" ref="R24">
      <text>
        <t xml:space="preserve">In between Cohorts. 
</t>
      </text>
    </comment>
    <comment authorId="0" ref="S24">
      <text>
        <t xml:space="preserve">In between Cohorts. 
</t>
      </text>
    </comment>
    <comment authorId="0" ref="T24">
      <text>
        <t xml:space="preserve">In between Cohorts. 
</t>
      </text>
    </comment>
    <comment authorId="0" ref="U24">
      <text>
        <t xml:space="preserve">In between Cohorts. 
</t>
      </text>
    </comment>
    <comment authorId="0" ref="V24">
      <text>
        <t xml:space="preserve">In between Cohorts. 
</t>
      </text>
    </comment>
    <comment authorId="0" ref="W24">
      <text>
        <t xml:space="preserve">In between Cohorts. 
</t>
      </text>
    </comment>
    <comment authorId="0" ref="X24">
      <text>
        <t xml:space="preserve">In between Cohorts. 
</t>
      </text>
    </comment>
    <comment authorId="0" ref="E25">
      <text>
        <t xml:space="preserve">In between Cohorts. 
</t>
      </text>
    </comment>
    <comment authorId="0" ref="F25">
      <text>
        <t xml:space="preserve">In between Cohorts. 
</t>
      </text>
    </comment>
    <comment authorId="0" ref="G25">
      <text>
        <t xml:space="preserve">In between Cohorts. 
</t>
      </text>
    </comment>
    <comment authorId="0" ref="H25">
      <text>
        <t xml:space="preserve">In between Cohorts. 
</t>
      </text>
    </comment>
    <comment authorId="0" ref="I25">
      <text>
        <t xml:space="preserve">In between Cohorts. 
</t>
      </text>
    </comment>
    <comment authorId="0" ref="J25">
      <text>
        <t xml:space="preserve">In between Cohorts. 
</t>
      </text>
    </comment>
    <comment authorId="0" ref="K25">
      <text>
        <t xml:space="preserve">In between Cohorts. 
</t>
      </text>
    </comment>
    <comment authorId="0" ref="L25">
      <text>
        <t xml:space="preserve">In between Cohorts. 
</t>
      </text>
    </comment>
    <comment authorId="0" ref="M25">
      <text>
        <t xml:space="preserve">In between Cohorts. 
</t>
      </text>
    </comment>
    <comment authorId="0" ref="N25">
      <text>
        <t xml:space="preserve">In between Cohorts. 
</t>
      </text>
    </comment>
    <comment authorId="0" ref="P25">
      <text>
        <t xml:space="preserve">In between Cohorts. 
</t>
      </text>
    </comment>
    <comment authorId="0" ref="Q25">
      <text>
        <t xml:space="preserve">In between Cohorts. 
</t>
      </text>
    </comment>
    <comment authorId="0" ref="R25">
      <text>
        <t xml:space="preserve">In between Cohorts. 
</t>
      </text>
    </comment>
    <comment authorId="0" ref="S25">
      <text>
        <t xml:space="preserve">In between Cohorts. 
</t>
      </text>
    </comment>
    <comment authorId="0" ref="T25">
      <text>
        <t xml:space="preserve">In between Cohorts. 
</t>
      </text>
    </comment>
    <comment authorId="0" ref="U25">
      <text>
        <t xml:space="preserve">In between Cohorts. 
</t>
      </text>
    </comment>
    <comment authorId="0" ref="V25">
      <text>
        <t xml:space="preserve">In between Cohorts. 
</t>
      </text>
    </comment>
    <comment authorId="0" ref="W25">
      <text>
        <t xml:space="preserve">In between Cohorts. 
</t>
      </text>
    </comment>
    <comment authorId="0" ref="X25">
      <text>
        <t xml:space="preserve">In between Cohorts. 
</t>
      </text>
    </comment>
    <comment authorId="0" ref="E26">
      <text>
        <t xml:space="preserve">In between Cohorts. 
</t>
      </text>
    </comment>
    <comment authorId="0" ref="F26">
      <text>
        <t xml:space="preserve">In between Cohorts. 
</t>
      </text>
    </comment>
    <comment authorId="0" ref="G26">
      <text>
        <t xml:space="preserve">In between Cohorts. 
</t>
      </text>
    </comment>
    <comment authorId="0" ref="H26">
      <text>
        <t xml:space="preserve">In between Cohorts. 
</t>
      </text>
    </comment>
    <comment authorId="0" ref="I26">
      <text>
        <t xml:space="preserve">In between Cohorts. 
</t>
      </text>
    </comment>
    <comment authorId="0" ref="J26">
      <text>
        <t xml:space="preserve">In between Cohorts. 
</t>
      </text>
    </comment>
    <comment authorId="0" ref="K26">
      <text>
        <t xml:space="preserve">In between Cohorts. 
</t>
      </text>
    </comment>
    <comment authorId="0" ref="L26">
      <text>
        <t xml:space="preserve">In between Cohorts. 
</t>
      </text>
    </comment>
    <comment authorId="0" ref="M26">
      <text>
        <t xml:space="preserve">In between Cohorts. 
</t>
      </text>
    </comment>
    <comment authorId="0" ref="N26">
      <text>
        <t xml:space="preserve">In between Cohorts. 
</t>
      </text>
    </comment>
    <comment authorId="0" ref="P26">
      <text>
        <t xml:space="preserve">In between Cohorts. 
</t>
      </text>
    </comment>
    <comment authorId="0" ref="Q26">
      <text>
        <t xml:space="preserve">In between Cohorts. 
</t>
      </text>
    </comment>
    <comment authorId="0" ref="R26">
      <text>
        <t xml:space="preserve">In between Cohorts. 
</t>
      </text>
    </comment>
    <comment authorId="0" ref="S26">
      <text>
        <t xml:space="preserve">In between Cohorts. 
</t>
      </text>
    </comment>
    <comment authorId="0" ref="T26">
      <text>
        <t xml:space="preserve">In between Cohorts. 
</t>
      </text>
    </comment>
    <comment authorId="0" ref="U26">
      <text>
        <t xml:space="preserve">In between Cohorts. 
</t>
      </text>
    </comment>
    <comment authorId="0" ref="V26">
      <text>
        <t xml:space="preserve">In between Cohorts. 
</t>
      </text>
    </comment>
    <comment authorId="0" ref="W26">
      <text>
        <t xml:space="preserve">In between Cohorts. 
</t>
      </text>
    </comment>
    <comment authorId="0" ref="X26">
      <text>
        <t xml:space="preserve">In between Cohorts. 
</t>
      </text>
    </comment>
    <comment authorId="0" ref="E27">
      <text>
        <t xml:space="preserve">In between Cohorts. 
</t>
      </text>
    </comment>
    <comment authorId="0" ref="F27">
      <text>
        <t xml:space="preserve">In between Cohorts. 
</t>
      </text>
    </comment>
    <comment authorId="0" ref="G27">
      <text>
        <t xml:space="preserve">In between Cohorts. 
</t>
      </text>
    </comment>
    <comment authorId="0" ref="H27">
      <text>
        <t xml:space="preserve">In between Cohorts. 
</t>
      </text>
    </comment>
    <comment authorId="0" ref="I27">
      <text>
        <t xml:space="preserve">In between Cohorts. 
</t>
      </text>
    </comment>
    <comment authorId="0" ref="J27">
      <text>
        <t xml:space="preserve">In between Cohorts. 
</t>
      </text>
    </comment>
    <comment authorId="0" ref="K27">
      <text>
        <t xml:space="preserve">In between Cohorts. 
</t>
      </text>
    </comment>
    <comment authorId="0" ref="L27">
      <text>
        <t xml:space="preserve">In between Cohorts. 
</t>
      </text>
    </comment>
    <comment authorId="0" ref="M27">
      <text>
        <t xml:space="preserve">In between Cohorts. 
</t>
      </text>
    </comment>
    <comment authorId="0" ref="N27">
      <text>
        <t xml:space="preserve">In between Cohorts. 
</t>
      </text>
    </comment>
    <comment authorId="0" ref="P27">
      <text>
        <t xml:space="preserve">In between Cohorts. 
</t>
      </text>
    </comment>
    <comment authorId="0" ref="Q27">
      <text>
        <t xml:space="preserve">In between Cohorts. 
</t>
      </text>
    </comment>
    <comment authorId="0" ref="R27">
      <text>
        <t xml:space="preserve">In between Cohorts. 
</t>
      </text>
    </comment>
    <comment authorId="0" ref="S27">
      <text>
        <t xml:space="preserve">In between Cohorts. 
</t>
      </text>
    </comment>
    <comment authorId="0" ref="T27">
      <text>
        <t xml:space="preserve">In between Cohorts. 
</t>
      </text>
    </comment>
    <comment authorId="0" ref="U27">
      <text>
        <t xml:space="preserve">In between Cohorts. 
</t>
      </text>
    </comment>
    <comment authorId="0" ref="V27">
      <text>
        <t xml:space="preserve">In between Cohorts. 
</t>
      </text>
    </comment>
    <comment authorId="0" ref="W27">
      <text>
        <t xml:space="preserve">In between Cohorts. 
</t>
      </text>
    </comment>
    <comment authorId="0" ref="X27">
      <text>
        <t xml:space="preserve">In between Cohorts. 
</t>
      </text>
    </comment>
    <comment authorId="0" ref="E28">
      <text>
        <t xml:space="preserve">In between Cohorts. 
</t>
      </text>
    </comment>
    <comment authorId="0" ref="F28">
      <text>
        <t xml:space="preserve">In between Cohorts. 
</t>
      </text>
    </comment>
    <comment authorId="0" ref="G28">
      <text>
        <t xml:space="preserve">In between Cohorts. 
</t>
      </text>
    </comment>
    <comment authorId="0" ref="H28">
      <text>
        <t xml:space="preserve">In between Cohorts. 
</t>
      </text>
    </comment>
    <comment authorId="0" ref="I28">
      <text>
        <t xml:space="preserve">In between Cohorts. 
</t>
      </text>
    </comment>
    <comment authorId="0" ref="J28">
      <text>
        <t xml:space="preserve">In between Cohorts. 
</t>
      </text>
    </comment>
    <comment authorId="0" ref="K28">
      <text>
        <t xml:space="preserve">In between Cohorts. 
</t>
      </text>
    </comment>
    <comment authorId="0" ref="L28">
      <text>
        <t xml:space="preserve">In between Cohorts. 
</t>
      </text>
    </comment>
    <comment authorId="0" ref="M28">
      <text>
        <t xml:space="preserve">In between Cohorts. 
</t>
      </text>
    </comment>
    <comment authorId="0" ref="N28">
      <text>
        <t xml:space="preserve">In between Cohorts. 
</t>
      </text>
    </comment>
    <comment authorId="0" ref="P28">
      <text>
        <t xml:space="preserve">In between Cohorts. 
</t>
      </text>
    </comment>
    <comment authorId="0" ref="Q28">
      <text>
        <t xml:space="preserve">In between Cohorts. 
</t>
      </text>
    </comment>
    <comment authorId="0" ref="R28">
      <text>
        <t xml:space="preserve">In between Cohorts. 
</t>
      </text>
    </comment>
    <comment authorId="0" ref="S28">
      <text>
        <t xml:space="preserve">In between Cohorts. 
</t>
      </text>
    </comment>
    <comment authorId="0" ref="T28">
      <text>
        <t xml:space="preserve">In between Cohorts. 
</t>
      </text>
    </comment>
    <comment authorId="0" ref="U28">
      <text>
        <t xml:space="preserve">In between Cohorts. 
</t>
      </text>
    </comment>
    <comment authorId="0" ref="V28">
      <text>
        <t xml:space="preserve">In between Cohorts. 
</t>
      </text>
    </comment>
    <comment authorId="0" ref="W28">
      <text>
        <t xml:space="preserve">In between Cohorts. 
</t>
      </text>
    </comment>
    <comment authorId="0" ref="X28">
      <text>
        <t xml:space="preserve">In between Cohorts. 
</t>
      </text>
    </comment>
    <comment authorId="0" ref="E29">
      <text>
        <t xml:space="preserve">In between Cohorts. 
</t>
      </text>
    </comment>
    <comment authorId="0" ref="F29">
      <text>
        <t xml:space="preserve">In between Cohorts. 
</t>
      </text>
    </comment>
    <comment authorId="0" ref="G29">
      <text>
        <t xml:space="preserve">In between Cohorts. 
</t>
      </text>
    </comment>
    <comment authorId="0" ref="H29">
      <text>
        <t xml:space="preserve">In between Cohorts. 
</t>
      </text>
    </comment>
    <comment authorId="0" ref="I29">
      <text>
        <t xml:space="preserve">In between Cohorts. 
</t>
      </text>
    </comment>
    <comment authorId="0" ref="J29">
      <text>
        <t xml:space="preserve">In between Cohorts. 
</t>
      </text>
    </comment>
    <comment authorId="0" ref="K29">
      <text>
        <t xml:space="preserve">In between Cohorts. 
</t>
      </text>
    </comment>
    <comment authorId="0" ref="L29">
      <text>
        <t xml:space="preserve">In between Cohorts. 
</t>
      </text>
    </comment>
    <comment authorId="0" ref="M29">
      <text>
        <t xml:space="preserve">In between Cohorts. 
</t>
      </text>
    </comment>
    <comment authorId="0" ref="N29">
      <text>
        <t xml:space="preserve">In between Cohorts. 
</t>
      </text>
    </comment>
    <comment authorId="0" ref="P29">
      <text>
        <t xml:space="preserve">In between Cohorts. 
</t>
      </text>
    </comment>
    <comment authorId="0" ref="Q29">
      <text>
        <t xml:space="preserve">In between Cohorts. 
</t>
      </text>
    </comment>
    <comment authorId="0" ref="R29">
      <text>
        <t xml:space="preserve">In between Cohorts. 
</t>
      </text>
    </comment>
    <comment authorId="0" ref="S29">
      <text>
        <t xml:space="preserve">In between Cohorts. 
</t>
      </text>
    </comment>
    <comment authorId="0" ref="T29">
      <text>
        <t xml:space="preserve">In between Cohorts. 
</t>
      </text>
    </comment>
    <comment authorId="0" ref="U29">
      <text>
        <t xml:space="preserve">In between Cohorts. 
</t>
      </text>
    </comment>
    <comment authorId="0" ref="V29">
      <text>
        <t xml:space="preserve">In between Cohorts. 
</t>
      </text>
    </comment>
    <comment authorId="0" ref="W29">
      <text>
        <t xml:space="preserve">In between Cohorts. 
</t>
      </text>
    </comment>
    <comment authorId="0" ref="X29">
      <text>
        <t xml:space="preserve">In between Cohorts. 
</t>
      </text>
    </comment>
    <comment authorId="0" ref="E30">
      <text>
        <t xml:space="preserve">In between Cohorts. 
</t>
      </text>
    </comment>
    <comment authorId="0" ref="F30">
      <text>
        <t xml:space="preserve">In between Cohorts. 
</t>
      </text>
    </comment>
    <comment authorId="0" ref="G30">
      <text>
        <t xml:space="preserve">In between Cohorts. 
</t>
      </text>
    </comment>
    <comment authorId="0" ref="H30">
      <text>
        <t xml:space="preserve">In between Cohorts. 
</t>
      </text>
    </comment>
    <comment authorId="0" ref="I30">
      <text>
        <t xml:space="preserve">In between Cohorts. 
</t>
      </text>
    </comment>
    <comment authorId="0" ref="J30">
      <text>
        <t xml:space="preserve">In between Cohorts. 
</t>
      </text>
    </comment>
    <comment authorId="0" ref="K30">
      <text>
        <t xml:space="preserve">In between Cohorts. 
</t>
      </text>
    </comment>
    <comment authorId="0" ref="L30">
      <text>
        <t xml:space="preserve">In between Cohorts. 
</t>
      </text>
    </comment>
    <comment authorId="0" ref="M30">
      <text>
        <t xml:space="preserve">In between Cohorts. 
</t>
      </text>
    </comment>
    <comment authorId="0" ref="N30">
      <text>
        <t xml:space="preserve">In between Cohorts. 
</t>
      </text>
    </comment>
    <comment authorId="0" ref="P30">
      <text>
        <t xml:space="preserve">In between Cohorts. 
</t>
      </text>
    </comment>
    <comment authorId="0" ref="Q30">
      <text>
        <t xml:space="preserve">In between Cohorts. 
</t>
      </text>
    </comment>
    <comment authorId="0" ref="R30">
      <text>
        <t xml:space="preserve">In between Cohorts. 
</t>
      </text>
    </comment>
    <comment authorId="0" ref="S30">
      <text>
        <t xml:space="preserve">In between Cohorts. 
</t>
      </text>
    </comment>
    <comment authorId="0" ref="T30">
      <text>
        <t xml:space="preserve">In between Cohorts. 
</t>
      </text>
    </comment>
    <comment authorId="0" ref="U30">
      <text>
        <t xml:space="preserve">In between Cohorts. 
</t>
      </text>
    </comment>
    <comment authorId="0" ref="V30">
      <text>
        <t xml:space="preserve">In between Cohorts. 
</t>
      </text>
    </comment>
    <comment authorId="0" ref="W30">
      <text>
        <t xml:space="preserve">In between Cohorts. 
</t>
      </text>
    </comment>
    <comment authorId="0" ref="X30">
      <text>
        <t xml:space="preserve">In between Cohorts. 
</t>
      </text>
    </comment>
    <comment authorId="0" ref="E31">
      <text>
        <t xml:space="preserve">In between Cohorts. 
</t>
      </text>
    </comment>
    <comment authorId="0" ref="F31">
      <text>
        <t xml:space="preserve">In between Cohorts. 
</t>
      </text>
    </comment>
    <comment authorId="0" ref="G31">
      <text>
        <t xml:space="preserve">In between Cohorts. 
</t>
      </text>
    </comment>
    <comment authorId="0" ref="H31">
      <text>
        <t xml:space="preserve">In between Cohorts. 
</t>
      </text>
    </comment>
    <comment authorId="0" ref="I31">
      <text>
        <t xml:space="preserve">In between Cohorts. 
</t>
      </text>
    </comment>
    <comment authorId="0" ref="J31">
      <text>
        <t xml:space="preserve">In between Cohorts. 
</t>
      </text>
    </comment>
    <comment authorId="0" ref="K31">
      <text>
        <t xml:space="preserve">In between Cohorts. 
</t>
      </text>
    </comment>
    <comment authorId="0" ref="L31">
      <text>
        <t xml:space="preserve">In between Cohorts. 
</t>
      </text>
    </comment>
    <comment authorId="0" ref="M31">
      <text>
        <t xml:space="preserve">In between Cohorts. 
</t>
      </text>
    </comment>
    <comment authorId="0" ref="N31">
      <text>
        <t xml:space="preserve">In between Cohorts. 
</t>
      </text>
    </comment>
    <comment authorId="0" ref="P31">
      <text>
        <t xml:space="preserve">In between Cohorts. 
</t>
      </text>
    </comment>
    <comment authorId="0" ref="Q31">
      <text>
        <t xml:space="preserve">In between Cohorts. 
</t>
      </text>
    </comment>
    <comment authorId="0" ref="R31">
      <text>
        <t xml:space="preserve">In between Cohorts. 
</t>
      </text>
    </comment>
    <comment authorId="0" ref="S31">
      <text>
        <t xml:space="preserve">In between Cohorts. 
</t>
      </text>
    </comment>
    <comment authorId="0" ref="T31">
      <text>
        <t xml:space="preserve">In between Cohorts. 
</t>
      </text>
    </comment>
    <comment authorId="0" ref="U31">
      <text>
        <t xml:space="preserve">In between Cohorts. 
</t>
      </text>
    </comment>
    <comment authorId="0" ref="V31">
      <text>
        <t xml:space="preserve">In between Cohorts. 
</t>
      </text>
    </comment>
    <comment authorId="0" ref="W31">
      <text>
        <t xml:space="preserve">In between Cohorts. 
</t>
      </text>
    </comment>
    <comment authorId="0" ref="X31">
      <text>
        <t xml:space="preserve">In between Cohorts.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In between Cohorts. 
</t>
      </text>
    </comment>
    <comment authorId="0" ref="F8">
      <text>
        <t xml:space="preserve">In between Cohorts. 
</t>
      </text>
    </comment>
    <comment authorId="0" ref="G8">
      <text>
        <t xml:space="preserve">In between Cohorts. 
</t>
      </text>
    </comment>
    <comment authorId="0" ref="H8">
      <text>
        <t xml:space="preserve">In between Cohorts. 
</t>
      </text>
    </comment>
    <comment authorId="0" ref="I8">
      <text>
        <t xml:space="preserve">In between Cohorts. 
</t>
      </text>
    </comment>
    <comment authorId="0" ref="J8">
      <text>
        <t xml:space="preserve">In between Cohorts. 
</t>
      </text>
    </comment>
    <comment authorId="0" ref="E9">
      <text>
        <t xml:space="preserve">In between Cohorts. 
</t>
      </text>
    </comment>
    <comment authorId="0" ref="F9">
      <text>
        <t xml:space="preserve">In between Cohorts. 
</t>
      </text>
    </comment>
    <comment authorId="0" ref="G9">
      <text>
        <t xml:space="preserve">In between Cohorts. 
</t>
      </text>
    </comment>
    <comment authorId="0" ref="H9">
      <text>
        <t xml:space="preserve">In between Cohorts. 
</t>
      </text>
    </comment>
    <comment authorId="0" ref="I9">
      <text>
        <t xml:space="preserve">In between Cohorts. 
</t>
      </text>
    </comment>
    <comment authorId="0" ref="J9">
      <text>
        <t xml:space="preserve">In between Cohorts. 
</t>
      </text>
    </comment>
    <comment authorId="0" ref="E10">
      <text>
        <t xml:space="preserve">In between Cohorts. 
</t>
      </text>
    </comment>
    <comment authorId="0" ref="F10">
      <text>
        <t xml:space="preserve">In between Cohorts. 
</t>
      </text>
    </comment>
    <comment authorId="0" ref="G10">
      <text>
        <t xml:space="preserve">In between Cohorts. 
</t>
      </text>
    </comment>
    <comment authorId="0" ref="H10">
      <text>
        <t xml:space="preserve">In between Cohorts. 
</t>
      </text>
    </comment>
    <comment authorId="0" ref="I10">
      <text>
        <t xml:space="preserve">In between Cohorts. 
</t>
      </text>
    </comment>
    <comment authorId="0" ref="J10">
      <text>
        <t xml:space="preserve">In between Cohorts. 
</t>
      </text>
    </comment>
    <comment authorId="0" ref="E11">
      <text>
        <t xml:space="preserve">In between Cohorts. 
</t>
      </text>
    </comment>
    <comment authorId="0" ref="F11">
      <text>
        <t xml:space="preserve">In between Cohorts. 
</t>
      </text>
    </comment>
    <comment authorId="0" ref="G11">
      <text>
        <t xml:space="preserve">In between Cohorts. 
</t>
      </text>
    </comment>
    <comment authorId="0" ref="H11">
      <text>
        <t xml:space="preserve">In between Cohorts. 
</t>
      </text>
    </comment>
    <comment authorId="0" ref="I11">
      <text>
        <t xml:space="preserve">In between Cohorts. 
</t>
      </text>
    </comment>
    <comment authorId="0" ref="J11">
      <text>
        <t xml:space="preserve">In between Cohorts. 
</t>
      </text>
    </comment>
    <comment authorId="0" ref="E12">
      <text>
        <t xml:space="preserve">In between Cohorts. 
</t>
      </text>
    </comment>
    <comment authorId="0" ref="F12">
      <text>
        <t xml:space="preserve">In between Cohorts. 
</t>
      </text>
    </comment>
    <comment authorId="0" ref="G12">
      <text>
        <t xml:space="preserve">In between Cohorts. 
</t>
      </text>
    </comment>
    <comment authorId="0" ref="H12">
      <text>
        <t xml:space="preserve">In between Cohorts. 
</t>
      </text>
    </comment>
    <comment authorId="0" ref="I12">
      <text>
        <t xml:space="preserve">In between Cohorts. 
</t>
      </text>
    </comment>
    <comment authorId="0" ref="J12">
      <text>
        <t xml:space="preserve">In between Cohorts. 
</t>
      </text>
    </comment>
    <comment authorId="0" ref="E13">
      <text>
        <t xml:space="preserve">In between Cohorts. 
</t>
      </text>
    </comment>
    <comment authorId="0" ref="F13">
      <text>
        <t xml:space="preserve">In between Cohorts. 
</t>
      </text>
    </comment>
    <comment authorId="0" ref="G13">
      <text>
        <t xml:space="preserve">In between Cohorts. 
</t>
      </text>
    </comment>
    <comment authorId="0" ref="H13">
      <text>
        <t xml:space="preserve">In between Cohorts. 
</t>
      </text>
    </comment>
    <comment authorId="0" ref="I13">
      <text>
        <t xml:space="preserve">In between Cohorts. 
</t>
      </text>
    </comment>
    <comment authorId="0" ref="J13">
      <text>
        <t xml:space="preserve">In between Cohorts. 
</t>
      </text>
    </comment>
    <comment authorId="0" ref="E14">
      <text>
        <t xml:space="preserve">In between Cohorts. 
</t>
      </text>
    </comment>
    <comment authorId="0" ref="F14">
      <text>
        <t xml:space="preserve">In between Cohorts. 
</t>
      </text>
    </comment>
    <comment authorId="0" ref="G14">
      <text>
        <t xml:space="preserve">In between Cohorts. 
</t>
      </text>
    </comment>
    <comment authorId="0" ref="H14">
      <text>
        <t xml:space="preserve">In between Cohorts. 
</t>
      </text>
    </comment>
    <comment authorId="0" ref="I14">
      <text>
        <t xml:space="preserve">In between Cohorts. 
</t>
      </text>
    </comment>
    <comment authorId="0" ref="J14">
      <text>
        <t xml:space="preserve">In between Cohorts. 
</t>
      </text>
    </comment>
    <comment authorId="0" ref="E15">
      <text>
        <t xml:space="preserve">In between Cohorts. 
</t>
      </text>
    </comment>
    <comment authorId="0" ref="F15">
      <text>
        <t xml:space="preserve">In between Cohorts. 
</t>
      </text>
    </comment>
    <comment authorId="0" ref="G15">
      <text>
        <t xml:space="preserve">In between Cohorts. 
</t>
      </text>
    </comment>
    <comment authorId="0" ref="H15">
      <text>
        <t xml:space="preserve">In between Cohorts. 
</t>
      </text>
    </comment>
    <comment authorId="0" ref="I15">
      <text>
        <t xml:space="preserve">In between Cohorts. 
</t>
      </text>
    </comment>
    <comment authorId="0" ref="J15">
      <text>
        <t xml:space="preserve">In between Cohorts. 
</t>
      </text>
    </comment>
    <comment authorId="0" ref="E16">
      <text>
        <t xml:space="preserve">In between Cohorts. 
</t>
      </text>
    </comment>
    <comment authorId="0" ref="F16">
      <text>
        <t xml:space="preserve">In between Cohorts. 
</t>
      </text>
    </comment>
    <comment authorId="0" ref="G16">
      <text>
        <t xml:space="preserve">In between Cohorts. 
</t>
      </text>
    </comment>
    <comment authorId="0" ref="H16">
      <text>
        <t xml:space="preserve">In between Cohorts. 
</t>
      </text>
    </comment>
    <comment authorId="0" ref="I16">
      <text>
        <t xml:space="preserve">In between Cohorts. 
</t>
      </text>
    </comment>
    <comment authorId="0" ref="J16">
      <text>
        <t xml:space="preserve">In between Cohorts. 
</t>
      </text>
    </comment>
    <comment authorId="0" ref="E17">
      <text>
        <t xml:space="preserve">In between Cohorts. 
</t>
      </text>
    </comment>
    <comment authorId="0" ref="F17">
      <text>
        <t xml:space="preserve">In between Cohorts. 
</t>
      </text>
    </comment>
    <comment authorId="0" ref="G17">
      <text>
        <t xml:space="preserve">In between Cohorts. 
</t>
      </text>
    </comment>
    <comment authorId="0" ref="H17">
      <text>
        <t xml:space="preserve">In between Cohorts. 
</t>
      </text>
    </comment>
    <comment authorId="0" ref="I17">
      <text>
        <t xml:space="preserve">In between Cohorts. 
</t>
      </text>
    </comment>
    <comment authorId="0" ref="J17">
      <text>
        <t xml:space="preserve">In between Cohorts. 
</t>
      </text>
    </comment>
    <comment authorId="0" ref="E18">
      <text>
        <t xml:space="preserve">In between Cohorts. 
</t>
      </text>
    </comment>
    <comment authorId="0" ref="F18">
      <text>
        <t xml:space="preserve">In between Cohorts. 
</t>
      </text>
    </comment>
    <comment authorId="0" ref="G18">
      <text>
        <t xml:space="preserve">In between Cohorts. 
</t>
      </text>
    </comment>
    <comment authorId="0" ref="H18">
      <text>
        <t xml:space="preserve">In between Cohorts. 
</t>
      </text>
    </comment>
    <comment authorId="0" ref="I18">
      <text>
        <t xml:space="preserve">In between Cohorts. 
</t>
      </text>
    </comment>
    <comment authorId="0" ref="J18">
      <text>
        <t xml:space="preserve">In between Cohorts. 
</t>
      </text>
    </comment>
    <comment authorId="0" ref="E19">
      <text>
        <t xml:space="preserve">In between Cohorts. 
</t>
      </text>
    </comment>
    <comment authorId="0" ref="F19">
      <text>
        <t xml:space="preserve">In between Cohorts. 
</t>
      </text>
    </comment>
    <comment authorId="0" ref="G19">
      <text>
        <t xml:space="preserve">In between Cohorts. 
</t>
      </text>
    </comment>
    <comment authorId="0" ref="H19">
      <text>
        <t xml:space="preserve">In between Cohorts. 
</t>
      </text>
    </comment>
    <comment authorId="0" ref="I19">
      <text>
        <t xml:space="preserve">In between Cohorts. 
</t>
      </text>
    </comment>
    <comment authorId="0" ref="J19">
      <text>
        <t xml:space="preserve">In between Cohorts. 
</t>
      </text>
    </comment>
    <comment authorId="0" ref="K19">
      <text>
        <t xml:space="preserve">Mention was not moved to a Main Unit dorm before class and was therefore not allowed to cross the center gate to get to the Vocation building. Move request has been submitted. </t>
      </text>
    </comment>
    <comment authorId="0" ref="E20">
      <text>
        <t xml:space="preserve">In between Cohorts. 
</t>
      </text>
    </comment>
    <comment authorId="0" ref="F20">
      <text>
        <t xml:space="preserve">In between Cohorts. 
</t>
      </text>
    </comment>
    <comment authorId="0" ref="G20">
      <text>
        <t xml:space="preserve">In between Cohorts. 
</t>
      </text>
    </comment>
    <comment authorId="0" ref="H20">
      <text>
        <t xml:space="preserve">In between Cohorts. 
</t>
      </text>
    </comment>
    <comment authorId="0" ref="I20">
      <text>
        <t xml:space="preserve">In between Cohorts. 
</t>
      </text>
    </comment>
    <comment authorId="0" ref="J20">
      <text>
        <t xml:space="preserve">In between Cohorts. 
</t>
      </text>
    </comment>
    <comment authorId="0" ref="E21">
      <text>
        <t xml:space="preserve">In between Cohorts. 
</t>
      </text>
    </comment>
    <comment authorId="0" ref="F21">
      <text>
        <t xml:space="preserve">In between Cohorts. 
</t>
      </text>
    </comment>
    <comment authorId="0" ref="G21">
      <text>
        <t xml:space="preserve">In between Cohorts. 
</t>
      </text>
    </comment>
    <comment authorId="0" ref="H21">
      <text>
        <t xml:space="preserve">In between Cohorts. 
</t>
      </text>
    </comment>
    <comment authorId="0" ref="I21">
      <text>
        <t xml:space="preserve">In between Cohorts. 
</t>
      </text>
    </comment>
    <comment authorId="0" ref="J21">
      <text>
        <t xml:space="preserve">In between Cohorts. 
</t>
      </text>
    </comment>
    <comment authorId="0" ref="E22">
      <text>
        <t xml:space="preserve">In between Cohorts. 
</t>
      </text>
    </comment>
    <comment authorId="0" ref="F22">
      <text>
        <t xml:space="preserve">In between Cohorts. 
</t>
      </text>
    </comment>
    <comment authorId="0" ref="G22">
      <text>
        <t xml:space="preserve">In between Cohorts. 
</t>
      </text>
    </comment>
    <comment authorId="0" ref="H22">
      <text>
        <t xml:space="preserve">In between Cohorts. 
</t>
      </text>
    </comment>
    <comment authorId="0" ref="I22">
      <text>
        <t xml:space="preserve">In between Cohorts. 
</t>
      </text>
    </comment>
    <comment authorId="0" ref="J22">
      <text>
        <t xml:space="preserve">In between Cohorts. 
</t>
      </text>
    </comment>
    <comment authorId="0" ref="E23">
      <text>
        <t xml:space="preserve">In between Cohorts. 
</t>
      </text>
    </comment>
    <comment authorId="0" ref="F23">
      <text>
        <t xml:space="preserve">In between Cohorts. 
</t>
      </text>
    </comment>
    <comment authorId="0" ref="G23">
      <text>
        <t xml:space="preserve">In between Cohorts. 
</t>
      </text>
    </comment>
    <comment authorId="0" ref="H23">
      <text>
        <t xml:space="preserve">In between Cohorts. 
</t>
      </text>
    </comment>
    <comment authorId="0" ref="I23">
      <text>
        <t xml:space="preserve">In between Cohorts. 
</t>
      </text>
    </comment>
    <comment authorId="0" ref="J23">
      <text>
        <t xml:space="preserve">In between Cohorts. 
</t>
      </text>
    </comment>
    <comment authorId="0" ref="K23">
      <text>
        <t xml:space="preserve">Smith still needs to be enrolled before she can come to class. That will happen 3/10 in the PM or 3/11 in the AM. </t>
      </text>
    </comment>
    <comment authorId="0" ref="E24">
      <text>
        <t xml:space="preserve">In between Cohorts. 
</t>
      </text>
    </comment>
    <comment authorId="0" ref="F24">
      <text>
        <t xml:space="preserve">In between Cohorts. 
</t>
      </text>
    </comment>
    <comment authorId="0" ref="G24">
      <text>
        <t xml:space="preserve">In between Cohorts. 
</t>
      </text>
    </comment>
    <comment authorId="0" ref="H24">
      <text>
        <t xml:space="preserve">In between Cohorts. 
</t>
      </text>
    </comment>
    <comment authorId="0" ref="I24">
      <text>
        <t xml:space="preserve">In between Cohorts. 
</t>
      </text>
    </comment>
    <comment authorId="0" ref="J24">
      <text>
        <t xml:space="preserve">In between Cohorts. 
</t>
      </text>
    </comment>
    <comment authorId="0" ref="E25">
      <text>
        <t xml:space="preserve">In between Cohorts. 
</t>
      </text>
    </comment>
    <comment authorId="0" ref="F25">
      <text>
        <t xml:space="preserve">In between Cohorts. 
</t>
      </text>
    </comment>
    <comment authorId="0" ref="G25">
      <text>
        <t xml:space="preserve">In between Cohorts. 
</t>
      </text>
    </comment>
    <comment authorId="0" ref="H25">
      <text>
        <t xml:space="preserve">In between Cohorts. 
</t>
      </text>
    </comment>
    <comment authorId="0" ref="I25">
      <text>
        <t xml:space="preserve">In between Cohorts. 
</t>
      </text>
    </comment>
    <comment authorId="0" ref="J25">
      <text>
        <t xml:space="preserve">In between Cohorts. 
</t>
      </text>
    </comment>
    <comment authorId="0" ref="E26">
      <text>
        <t xml:space="preserve">In between Cohorts. 
</t>
      </text>
    </comment>
    <comment authorId="0" ref="F26">
      <text>
        <t xml:space="preserve">In between Cohorts. 
</t>
      </text>
    </comment>
    <comment authorId="0" ref="G26">
      <text>
        <t xml:space="preserve">In between Cohorts. 
</t>
      </text>
    </comment>
    <comment authorId="0" ref="H26">
      <text>
        <t xml:space="preserve">In between Cohorts. 
</t>
      </text>
    </comment>
    <comment authorId="0" ref="I26">
      <text>
        <t xml:space="preserve">In between Cohorts. 
</t>
      </text>
    </comment>
    <comment authorId="0" ref="J26">
      <text>
        <t xml:space="preserve">In between Cohorts. 
</t>
      </text>
    </comment>
    <comment authorId="0" ref="E27">
      <text>
        <t xml:space="preserve">In between Cohorts. 
</t>
      </text>
    </comment>
    <comment authorId="0" ref="F27">
      <text>
        <t xml:space="preserve">In between Cohorts. 
</t>
      </text>
    </comment>
    <comment authorId="0" ref="G27">
      <text>
        <t xml:space="preserve">In between Cohorts. 
</t>
      </text>
    </comment>
    <comment authorId="0" ref="H27">
      <text>
        <t xml:space="preserve">In between Cohorts. 
</t>
      </text>
    </comment>
    <comment authorId="0" ref="I27">
      <text>
        <t xml:space="preserve">In between Cohorts. 
</t>
      </text>
    </comment>
    <comment authorId="0" ref="J27">
      <text>
        <t xml:space="preserve">In between Cohorts. 
</t>
      </text>
    </comment>
    <comment authorId="0" ref="E28">
      <text>
        <t xml:space="preserve">In between Cohorts. 
</t>
      </text>
    </comment>
    <comment authorId="0" ref="F28">
      <text>
        <t xml:space="preserve">In between Cohorts. 
</t>
      </text>
    </comment>
    <comment authorId="0" ref="G28">
      <text>
        <t xml:space="preserve">In between Cohorts. 
</t>
      </text>
    </comment>
    <comment authorId="0" ref="H28">
      <text>
        <t xml:space="preserve">In between Cohorts. 
</t>
      </text>
    </comment>
    <comment authorId="0" ref="I28">
      <text>
        <t xml:space="preserve">In between Cohorts. 
</t>
      </text>
    </comment>
    <comment authorId="0" ref="J28">
      <text>
        <t xml:space="preserve">In between Cohorts. 
</t>
      </text>
    </comment>
    <comment authorId="0" ref="E29">
      <text>
        <t xml:space="preserve">In between Cohorts. 
</t>
      </text>
    </comment>
    <comment authorId="0" ref="F29">
      <text>
        <t xml:space="preserve">In between Cohorts. 
</t>
      </text>
    </comment>
    <comment authorId="0" ref="G29">
      <text>
        <t xml:space="preserve">In between Cohorts. 
</t>
      </text>
    </comment>
    <comment authorId="0" ref="H29">
      <text>
        <t xml:space="preserve">In between Cohorts. 
</t>
      </text>
    </comment>
    <comment authorId="0" ref="I29">
      <text>
        <t xml:space="preserve">In between Cohorts. 
</t>
      </text>
    </comment>
    <comment authorId="0" ref="J29">
      <text>
        <t xml:space="preserve">In between Cohorts. 
</t>
      </text>
    </comment>
    <comment authorId="0" ref="K29">
      <text>
        <t xml:space="preserve">Vinson was not moved to a Main Unit dorm before class and was therefore not allowed to cross the center gate to get to the Vocation building. Move request has been submitted. </t>
      </text>
    </comment>
    <comment authorId="0" ref="E30">
      <text>
        <t xml:space="preserve">In between Cohorts. 
</t>
      </text>
    </comment>
    <comment authorId="0" ref="F30">
      <text>
        <t xml:space="preserve">In between Cohorts. 
</t>
      </text>
    </comment>
    <comment authorId="0" ref="G30">
      <text>
        <t xml:space="preserve">In between Cohorts. 
</t>
      </text>
    </comment>
    <comment authorId="0" ref="H30">
      <text>
        <t xml:space="preserve">In between Cohorts. 
</t>
      </text>
    </comment>
    <comment authorId="0" ref="I30">
      <text>
        <t xml:space="preserve">In between Cohorts. 
</t>
      </text>
    </comment>
    <comment authorId="0" ref="J30">
      <text>
        <t xml:space="preserve">In between Cohorts. 
</t>
      </text>
    </comment>
    <comment authorId="0" ref="E31">
      <text>
        <t xml:space="preserve">In between Cohorts. 
</t>
      </text>
    </comment>
    <comment authorId="0" ref="F31">
      <text>
        <t xml:space="preserve">In between Cohorts. 
</t>
      </text>
    </comment>
    <comment authorId="0" ref="G31">
      <text>
        <t xml:space="preserve">In between Cohorts. 
</t>
      </text>
    </comment>
    <comment authorId="0" ref="H31">
      <text>
        <t xml:space="preserve">In between Cohorts. 
</t>
      </text>
    </comment>
    <comment authorId="0" ref="I31">
      <text>
        <t xml:space="preserve">In between Cohorts. 
</t>
      </text>
    </comment>
    <comment authorId="0" ref="J31">
      <text>
        <t xml:space="preserve">In between Cohorts. 
</t>
      </text>
    </comment>
  </commentList>
</comments>
</file>

<file path=xl/sharedStrings.xml><?xml version="1.0" encoding="utf-8"?>
<sst xmlns="http://schemas.openxmlformats.org/spreadsheetml/2006/main" count="4314" uniqueCount="171">
  <si>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</si>
  <si>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</si>
  <si>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</si>
  <si>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</si>
  <si>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</si>
  <si>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</si>
  <si>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</si>
  <si>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</si>
  <si>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</si>
  <si>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</si>
  <si>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</si>
  <si>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</si>
  <si>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</si>
  <si>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</si>
  <si>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</si>
  <si>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</si>
  <si>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</si>
  <si>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</si>
  <si>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</si>
  <si>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</si>
  <si>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</si>
  <si>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</si>
  <si>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</si>
  <si>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</si>
  <si>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</si>
  <si>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</si>
  <si>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</si>
  <si>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</si>
  <si>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</si>
  <si>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</si>
  <si>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</si>
  <si>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</si>
  <si>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</si>
  <si>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</si>
  <si>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</si>
  <si>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</si>
  <si>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</si>
  <si>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</si>
  <si>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</si>
  <si>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</si>
  <si>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</si>
  <si>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</si>
  <si>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</si>
  <si>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</si>
  <si>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</si>
  <si>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</si>
  <si>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</si>
  <si>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</si>
  <si>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</si>
  <si>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</si>
  <si>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</si>
  <si>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</si>
  <si>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</si>
  <si>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</si>
  <si>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</si>
  <si>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</si>
  <si>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</si>
  <si>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</si>
  <si>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</si>
  <si>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</si>
  <si>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</si>
  <si>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</si>
  <si>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</si>
  <si>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</si>
  <si>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</si>
  <si>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</si>
  <si>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</si>
  <si>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</si>
  <si>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</si>
  <si>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</si>
  <si>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</si>
  <si>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</si>
  <si>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</si>
  <si>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</si>
  <si>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</si>
  <si>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</si>
  <si>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</si>
  <si>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</si>
  <si>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</si>
  <si>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</si>
  <si>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</si>
  <si>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</si>
  <si>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</si>
  <si>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</si>
  <si>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</si>
  <si>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</si>
  <si>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</si>
  <si>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</si>
  <si>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</si>
  <si>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</si>
  <si>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</si>
  <si>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</si>
  <si>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</si>
  <si>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</si>
  <si>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</si>
  <si>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</si>
  <si>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Chris Demaria</t>
  </si>
  <si>
    <t>Jenna Dobbert</t>
  </si>
  <si>
    <t>0745-1445</t>
  </si>
  <si>
    <t>Stephanie Hamilton</t>
  </si>
  <si>
    <t xml:space="preserve">11120 NW Gainesville Rd. </t>
  </si>
  <si>
    <t>Ocala, FL</t>
  </si>
  <si>
    <t>0745 - 1445</t>
  </si>
  <si>
    <t>11120 NW Gainesville Rd</t>
  </si>
  <si>
    <t>Beaman</t>
  </si>
  <si>
    <t>Kristina</t>
  </si>
  <si>
    <t>G32292</t>
  </si>
  <si>
    <t>Cich</t>
  </si>
  <si>
    <t>Eunice</t>
  </si>
  <si>
    <t>V51594</t>
  </si>
  <si>
    <t>DeMartino</t>
  </si>
  <si>
    <t>Jennifer</t>
  </si>
  <si>
    <t>V52832</t>
  </si>
  <si>
    <t>Gibson</t>
  </si>
  <si>
    <t>Yolanda</t>
  </si>
  <si>
    <t>Goodhue</t>
  </si>
  <si>
    <t>U30577</t>
  </si>
  <si>
    <t>Goodson</t>
  </si>
  <si>
    <t>Wendy</t>
  </si>
  <si>
    <t>C70639</t>
  </si>
  <si>
    <t>Holman</t>
  </si>
  <si>
    <t>Sarah</t>
  </si>
  <si>
    <t>F32119</t>
  </si>
  <si>
    <t>Hulcher</t>
  </si>
  <si>
    <t>Judy</t>
  </si>
  <si>
    <t>H47964</t>
  </si>
  <si>
    <t>Humphrey</t>
  </si>
  <si>
    <t>Ashley</t>
  </si>
  <si>
    <t>Jimenez</t>
  </si>
  <si>
    <t>Ana</t>
  </si>
  <si>
    <t>S61637</t>
  </si>
  <si>
    <t>Kowalczyk</t>
  </si>
  <si>
    <t>Tanya</t>
  </si>
  <si>
    <t>W62011</t>
  </si>
  <si>
    <t>Mention</t>
  </si>
  <si>
    <t>Helen</t>
  </si>
  <si>
    <t>Morrison</t>
  </si>
  <si>
    <t>S72655</t>
  </si>
  <si>
    <t>Myles</t>
  </si>
  <si>
    <t>Melinda</t>
  </si>
  <si>
    <t>F81334</t>
  </si>
  <si>
    <t>Rodriguez</t>
  </si>
  <si>
    <t>Jessica</t>
  </si>
  <si>
    <t>U58161</t>
  </si>
  <si>
    <t>Smith</t>
  </si>
  <si>
    <t>Destinee</t>
  </si>
  <si>
    <t>Q70631</t>
  </si>
  <si>
    <t>Snape</t>
  </si>
  <si>
    <t>Nastasia</t>
  </si>
  <si>
    <t>N82482</t>
  </si>
  <si>
    <t>Spiegel</t>
  </si>
  <si>
    <t>Paula</t>
  </si>
  <si>
    <t>T38859</t>
  </si>
  <si>
    <t>Strain</t>
  </si>
  <si>
    <t>S60395</t>
  </si>
  <si>
    <t>Thompson</t>
  </si>
  <si>
    <t>Amanda</t>
  </si>
  <si>
    <t>S61113</t>
  </si>
  <si>
    <t>Tonner</t>
  </si>
  <si>
    <t>Katherine</t>
  </si>
  <si>
    <t>B21092</t>
  </si>
  <si>
    <t>Vinson</t>
  </si>
  <si>
    <t>Kala</t>
  </si>
  <si>
    <t>Q81778</t>
  </si>
  <si>
    <t>Wall</t>
  </si>
  <si>
    <t>Vanessa</t>
  </si>
  <si>
    <t>U56300</t>
  </si>
  <si>
    <t>Williams</t>
  </si>
  <si>
    <t>Kashema</t>
  </si>
  <si>
    <t>S07535</t>
  </si>
  <si>
    <t>Nicola Roberts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</si>
</sst>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7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sz val="10.0"/>
      <color rgb="FF000000"/>
      <name val="Lato"/>
    </font>
    <font>
      <sz val="10.0"/>
      <color rgb="FF000000"/>
      <name val="Golos Text"/>
    </font>
    <font>
      <sz val="10.0"/>
      <color theme="1"/>
      <name val="Golos Text"/>
    </font>
    <font>
      <color rgb="FF000000"/>
      <name val="Golos Tex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  <border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17" numFmtId="166" xfId="0" applyAlignment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8" fillId="2" fontId="26" numFmtId="0" xfId="0" applyAlignment="1" applyBorder="1" applyFont="1">
      <alignment horizontal="center" readingOrder="0" shrinkToFit="0" vertical="center" wrapText="1"/>
    </xf>
    <xf borderId="9" fillId="2" fontId="18" numFmtId="0" xfId="0" applyAlignment="1" applyBorder="1" applyFont="1">
      <alignment horizontal="left" shrinkToFit="0" vertical="center" wrapText="1"/>
    </xf>
    <xf borderId="0" fillId="2" fontId="2" numFmtId="0" xfId="0" applyAlignment="1" applyFont="1">
      <alignment horizontal="center" shrinkToFit="0" wrapText="1"/>
    </xf>
    <xf borderId="0" fillId="9" fontId="12" numFmtId="0" xfId="0" applyAlignment="1" applyFill="1" applyFont="1">
      <alignment readingOrder="0" shrinkToFit="0" vertical="center" wrapText="1"/>
    </xf>
    <xf borderId="0" fillId="9" fontId="23" numFmtId="0" xfId="0" applyAlignment="1" applyFont="1">
      <alignment horizontal="center" readingOrder="0" shrinkToFit="0" vertical="center" wrapText="1"/>
    </xf>
    <xf borderId="0" fillId="9" fontId="12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9" fontId="2" numFmtId="0" xfId="0" applyAlignment="1" applyFont="1">
      <alignment horizontal="center" readingOrder="0" shrinkToFit="0" wrapText="1"/>
    </xf>
    <xf borderId="0" fillId="9" fontId="2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0" fillId="9" fontId="16" numFmtId="0" xfId="0" applyAlignment="1" applyFont="1">
      <alignment horizontal="center" readingOrder="0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46023.0</v>
      </c>
      <c r="F7" s="40">
        <v>46024.0</v>
      </c>
      <c r="G7" s="40">
        <v>46027.0</v>
      </c>
      <c r="H7" s="40">
        <v>46028.0</v>
      </c>
      <c r="I7" s="40">
        <v>46029.0</v>
      </c>
      <c r="J7" s="40">
        <v>46030.0</v>
      </c>
      <c r="K7" s="40">
        <v>46031.0</v>
      </c>
      <c r="L7" s="40">
        <v>46034.0</v>
      </c>
      <c r="M7" s="40">
        <v>46035.0</v>
      </c>
      <c r="N7" s="40">
        <v>46036.0</v>
      </c>
      <c r="O7" s="40">
        <v>46037.0</v>
      </c>
      <c r="P7" s="40">
        <v>46038.0</v>
      </c>
      <c r="Q7" s="40">
        <v>46041.0</v>
      </c>
      <c r="R7" s="40">
        <v>46042.0</v>
      </c>
      <c r="S7" s="40">
        <v>46043.0</v>
      </c>
      <c r="T7" s="40">
        <v>46044.0</v>
      </c>
      <c r="U7" s="56">
        <v>46045.0</v>
      </c>
      <c r="V7" s="56">
        <v>46048.0</v>
      </c>
      <c r="W7" s="40">
        <v>46049.0</v>
      </c>
      <c r="X7" s="40">
        <v>46050.0</v>
      </c>
      <c r="Y7" s="40">
        <v>46051.0</v>
      </c>
      <c r="Z7" s="40">
        <v>46052.0</v>
      </c>
      <c r="AA7" s="40"/>
    </row>
    <row r="8" ht="15.0" customHeight="1">
      <c r="A8" s="41"/>
      <c r="B8" s="41"/>
      <c r="C8" s="57"/>
      <c r="D8" s="42"/>
      <c r="E8" s="42" t="s">
        <v>16</v>
      </c>
      <c r="F8" s="42" t="s">
        <v>20</v>
      </c>
      <c r="G8" s="42" t="s">
        <v>20</v>
      </c>
      <c r="H8" s="42" t="s">
        <v>20</v>
      </c>
      <c r="I8" s="42" t="s">
        <v>20</v>
      </c>
      <c r="J8" s="42" t="s">
        <v>20</v>
      </c>
      <c r="K8" s="42" t="s">
        <v>20</v>
      </c>
      <c r="L8" s="42" t="s">
        <v>20</v>
      </c>
      <c r="M8" s="42" t="s">
        <v>20</v>
      </c>
      <c r="N8" s="42" t="s">
        <v>20</v>
      </c>
      <c r="O8" s="42" t="s">
        <v>20</v>
      </c>
      <c r="P8" s="42" t="s">
        <v>20</v>
      </c>
      <c r="Q8" s="42" t="s">
        <v>16</v>
      </c>
      <c r="R8" s="42" t="s">
        <v>20</v>
      </c>
      <c r="S8" s="42" t="s">
        <v>20</v>
      </c>
      <c r="T8" s="42" t="s">
        <v>20</v>
      </c>
      <c r="U8" s="42" t="s">
        <v>20</v>
      </c>
      <c r="V8" s="42" t="s">
        <v>20</v>
      </c>
      <c r="W8" s="42" t="s">
        <v>20</v>
      </c>
      <c r="X8" s="42" t="s">
        <v>20</v>
      </c>
      <c r="Y8" s="42" t="s">
        <v>20</v>
      </c>
      <c r="Z8" s="42" t="s">
        <v>20</v>
      </c>
      <c r="AA8" s="42"/>
    </row>
    <row r="9" ht="15.0" customHeight="1">
      <c r="A9" s="41"/>
      <c r="B9" s="41"/>
      <c r="C9" s="57"/>
      <c r="D9" s="42"/>
      <c r="E9" s="42" t="s">
        <v>16</v>
      </c>
      <c r="F9" s="42" t="s">
        <v>20</v>
      </c>
      <c r="G9" s="42" t="s">
        <v>20</v>
      </c>
      <c r="H9" s="42" t="s">
        <v>20</v>
      </c>
      <c r="I9" s="42" t="s">
        <v>20</v>
      </c>
      <c r="J9" s="42" t="s">
        <v>20</v>
      </c>
      <c r="K9" s="42" t="s">
        <v>20</v>
      </c>
      <c r="L9" s="42" t="s">
        <v>20</v>
      </c>
      <c r="M9" s="42" t="s">
        <v>20</v>
      </c>
      <c r="N9" s="42" t="s">
        <v>20</v>
      </c>
      <c r="O9" s="42" t="s">
        <v>20</v>
      </c>
      <c r="P9" s="42" t="s">
        <v>20</v>
      </c>
      <c r="Q9" s="42" t="s">
        <v>16</v>
      </c>
      <c r="R9" s="42" t="s">
        <v>20</v>
      </c>
      <c r="S9" s="42" t="s">
        <v>20</v>
      </c>
      <c r="T9" s="42" t="s">
        <v>20</v>
      </c>
      <c r="U9" s="42" t="s">
        <v>20</v>
      </c>
      <c r="V9" s="42" t="s">
        <v>20</v>
      </c>
      <c r="W9" s="42" t="s">
        <v>20</v>
      </c>
      <c r="X9" s="42" t="s">
        <v>20</v>
      </c>
      <c r="Y9" s="42" t="s">
        <v>20</v>
      </c>
      <c r="Z9" s="42" t="s">
        <v>20</v>
      </c>
      <c r="AA9" s="42"/>
    </row>
    <row r="10" ht="15.0" customHeight="1">
      <c r="A10" s="41"/>
      <c r="B10" s="41"/>
      <c r="C10" s="58"/>
      <c r="D10" s="42"/>
      <c r="E10" s="42" t="s">
        <v>16</v>
      </c>
      <c r="F10" s="42" t="s">
        <v>20</v>
      </c>
      <c r="G10" s="42" t="s">
        <v>20</v>
      </c>
      <c r="H10" s="42" t="s">
        <v>20</v>
      </c>
      <c r="I10" s="42" t="s">
        <v>20</v>
      </c>
      <c r="J10" s="42" t="s">
        <v>20</v>
      </c>
      <c r="K10" s="42" t="s">
        <v>20</v>
      </c>
      <c r="L10" s="42" t="s">
        <v>20</v>
      </c>
      <c r="M10" s="42" t="s">
        <v>20</v>
      </c>
      <c r="N10" s="42" t="s">
        <v>20</v>
      </c>
      <c r="O10" s="42" t="s">
        <v>20</v>
      </c>
      <c r="P10" s="42" t="s">
        <v>20</v>
      </c>
      <c r="Q10" s="42" t="s">
        <v>16</v>
      </c>
      <c r="R10" s="42" t="s">
        <v>20</v>
      </c>
      <c r="S10" s="42" t="s">
        <v>20</v>
      </c>
      <c r="T10" s="42" t="s">
        <v>20</v>
      </c>
      <c r="U10" s="42" t="s">
        <v>20</v>
      </c>
      <c r="V10" s="42" t="s">
        <v>20</v>
      </c>
      <c r="W10" s="42" t="s">
        <v>20</v>
      </c>
      <c r="X10" s="42" t="s">
        <v>20</v>
      </c>
      <c r="Y10" s="42" t="s">
        <v>20</v>
      </c>
      <c r="Z10" s="42" t="s">
        <v>20</v>
      </c>
      <c r="AA10" s="42"/>
    </row>
    <row r="11" ht="15.0" customHeight="1">
      <c r="A11" s="41"/>
      <c r="B11" s="41"/>
      <c r="C11" s="58"/>
      <c r="D11" s="42"/>
      <c r="E11" s="42" t="s">
        <v>16</v>
      </c>
      <c r="F11" s="42" t="s">
        <v>20</v>
      </c>
      <c r="G11" s="42" t="s">
        <v>20</v>
      </c>
      <c r="H11" s="42" t="s">
        <v>20</v>
      </c>
      <c r="I11" s="42" t="s">
        <v>20</v>
      </c>
      <c r="J11" s="42" t="s">
        <v>20</v>
      </c>
      <c r="K11" s="42" t="s">
        <v>20</v>
      </c>
      <c r="L11" s="42" t="s">
        <v>20</v>
      </c>
      <c r="M11" s="42" t="s">
        <v>20</v>
      </c>
      <c r="N11" s="42" t="s">
        <v>20</v>
      </c>
      <c r="O11" s="42" t="s">
        <v>20</v>
      </c>
      <c r="P11" s="42" t="s">
        <v>20</v>
      </c>
      <c r="Q11" s="42" t="s">
        <v>16</v>
      </c>
      <c r="R11" s="42" t="s">
        <v>20</v>
      </c>
      <c r="S11" s="42" t="s">
        <v>20</v>
      </c>
      <c r="T11" s="42" t="s">
        <v>20</v>
      </c>
      <c r="U11" s="42" t="s">
        <v>20</v>
      </c>
      <c r="V11" s="42" t="s">
        <v>20</v>
      </c>
      <c r="W11" s="42" t="s">
        <v>20</v>
      </c>
      <c r="X11" s="42" t="s">
        <v>20</v>
      </c>
      <c r="Y11" s="42" t="s">
        <v>20</v>
      </c>
      <c r="Z11" s="42" t="s">
        <v>20</v>
      </c>
      <c r="AA11" s="42"/>
    </row>
    <row r="12" ht="15.0" customHeight="1">
      <c r="A12" s="41"/>
      <c r="B12" s="41"/>
      <c r="C12" s="58"/>
      <c r="D12" s="42"/>
      <c r="E12" s="42" t="s">
        <v>16</v>
      </c>
      <c r="F12" s="42" t="s">
        <v>20</v>
      </c>
      <c r="G12" s="42" t="s">
        <v>20</v>
      </c>
      <c r="H12" s="42" t="s">
        <v>20</v>
      </c>
      <c r="I12" s="42" t="s">
        <v>20</v>
      </c>
      <c r="J12" s="42" t="s">
        <v>20</v>
      </c>
      <c r="K12" s="42" t="s">
        <v>20</v>
      </c>
      <c r="L12" s="42" t="s">
        <v>20</v>
      </c>
      <c r="M12" s="42" t="s">
        <v>20</v>
      </c>
      <c r="N12" s="42" t="s">
        <v>20</v>
      </c>
      <c r="O12" s="42" t="s">
        <v>20</v>
      </c>
      <c r="P12" s="42" t="s">
        <v>20</v>
      </c>
      <c r="Q12" s="42" t="s">
        <v>16</v>
      </c>
      <c r="R12" s="42" t="s">
        <v>20</v>
      </c>
      <c r="S12" s="42" t="s">
        <v>20</v>
      </c>
      <c r="T12" s="42" t="s">
        <v>20</v>
      </c>
      <c r="U12" s="42" t="s">
        <v>20</v>
      </c>
      <c r="V12" s="42" t="s">
        <v>20</v>
      </c>
      <c r="W12" s="42" t="s">
        <v>20</v>
      </c>
      <c r="X12" s="42" t="s">
        <v>20</v>
      </c>
      <c r="Y12" s="42" t="s">
        <v>20</v>
      </c>
      <c r="Z12" s="42" t="s">
        <v>20</v>
      </c>
      <c r="AA12" s="42"/>
    </row>
    <row r="13" ht="15.0" customHeight="1">
      <c r="A13" s="41"/>
      <c r="B13" s="41"/>
      <c r="C13" s="58"/>
      <c r="D13" s="42"/>
      <c r="E13" s="42" t="s">
        <v>16</v>
      </c>
      <c r="F13" s="42" t="s">
        <v>20</v>
      </c>
      <c r="G13" s="42" t="s">
        <v>20</v>
      </c>
      <c r="H13" s="42" t="s">
        <v>20</v>
      </c>
      <c r="I13" s="42" t="s">
        <v>20</v>
      </c>
      <c r="J13" s="42" t="s">
        <v>20</v>
      </c>
      <c r="K13" s="42" t="s">
        <v>20</v>
      </c>
      <c r="L13" s="42" t="s">
        <v>20</v>
      </c>
      <c r="M13" s="42" t="s">
        <v>20</v>
      </c>
      <c r="N13" s="42" t="s">
        <v>20</v>
      </c>
      <c r="O13" s="42" t="s">
        <v>20</v>
      </c>
      <c r="P13" s="42" t="s">
        <v>20</v>
      </c>
      <c r="Q13" s="42" t="s">
        <v>16</v>
      </c>
      <c r="R13" s="42" t="s">
        <v>20</v>
      </c>
      <c r="S13" s="42" t="s">
        <v>20</v>
      </c>
      <c r="T13" s="42" t="s">
        <v>20</v>
      </c>
      <c r="U13" s="42" t="s">
        <v>20</v>
      </c>
      <c r="V13" s="42" t="s">
        <v>20</v>
      </c>
      <c r="W13" s="42" t="s">
        <v>20</v>
      </c>
      <c r="X13" s="42" t="s">
        <v>20</v>
      </c>
      <c r="Y13" s="42" t="s">
        <v>20</v>
      </c>
      <c r="Z13" s="42" t="s">
        <v>20</v>
      </c>
      <c r="AA13" s="42"/>
    </row>
    <row r="14" ht="15.0" customHeight="1">
      <c r="A14" s="41"/>
      <c r="B14" s="41"/>
      <c r="C14" s="58"/>
      <c r="D14" s="42"/>
      <c r="E14" s="42" t="s">
        <v>16</v>
      </c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16</v>
      </c>
      <c r="R14" s="42" t="s">
        <v>20</v>
      </c>
      <c r="S14" s="42" t="s">
        <v>20</v>
      </c>
      <c r="T14" s="42" t="s">
        <v>20</v>
      </c>
      <c r="U14" s="42" t="s">
        <v>20</v>
      </c>
      <c r="V14" s="42" t="s">
        <v>20</v>
      </c>
      <c r="W14" s="42" t="s">
        <v>20</v>
      </c>
      <c r="X14" s="42" t="s">
        <v>20</v>
      </c>
      <c r="Y14" s="42" t="s">
        <v>20</v>
      </c>
      <c r="Z14" s="42" t="s">
        <v>20</v>
      </c>
      <c r="AA14" s="42"/>
    </row>
    <row r="15" ht="15.0" customHeight="1">
      <c r="A15" s="41"/>
      <c r="B15" s="41"/>
      <c r="C15" s="58"/>
      <c r="D15" s="42"/>
      <c r="E15" s="42" t="s">
        <v>16</v>
      </c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16</v>
      </c>
      <c r="R15" s="42" t="s">
        <v>20</v>
      </c>
      <c r="S15" s="42" t="s">
        <v>20</v>
      </c>
      <c r="T15" s="42" t="s">
        <v>20</v>
      </c>
      <c r="U15" s="42" t="s">
        <v>20</v>
      </c>
      <c r="V15" s="42" t="s">
        <v>20</v>
      </c>
      <c r="W15" s="42" t="s">
        <v>20</v>
      </c>
      <c r="X15" s="42" t="s">
        <v>20</v>
      </c>
      <c r="Y15" s="42" t="s">
        <v>20</v>
      </c>
      <c r="Z15" s="42" t="s">
        <v>20</v>
      </c>
      <c r="AA15" s="42"/>
    </row>
    <row r="16" ht="15.0" customHeight="1">
      <c r="A16" s="41"/>
      <c r="B16" s="41"/>
      <c r="C16" s="58"/>
      <c r="D16" s="42"/>
      <c r="E16" s="42" t="s">
        <v>16</v>
      </c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16</v>
      </c>
      <c r="R16" s="42" t="s">
        <v>20</v>
      </c>
      <c r="S16" s="42" t="s">
        <v>20</v>
      </c>
      <c r="T16" s="42" t="s">
        <v>20</v>
      </c>
      <c r="U16" s="42" t="s">
        <v>20</v>
      </c>
      <c r="V16" s="42" t="s">
        <v>20</v>
      </c>
      <c r="W16" s="42" t="s">
        <v>20</v>
      </c>
      <c r="X16" s="42" t="s">
        <v>20</v>
      </c>
      <c r="Y16" s="42" t="s">
        <v>20</v>
      </c>
      <c r="Z16" s="42" t="s">
        <v>20</v>
      </c>
      <c r="AA16" s="42"/>
    </row>
    <row r="17" ht="15.0" customHeight="1">
      <c r="A17" s="41"/>
      <c r="B17" s="41"/>
      <c r="C17" s="58"/>
      <c r="D17" s="42"/>
      <c r="E17" s="42" t="s">
        <v>16</v>
      </c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16</v>
      </c>
      <c r="R17" s="42" t="s">
        <v>20</v>
      </c>
      <c r="S17" s="42" t="s">
        <v>20</v>
      </c>
      <c r="T17" s="42" t="s">
        <v>20</v>
      </c>
      <c r="U17" s="42" t="s">
        <v>20</v>
      </c>
      <c r="V17" s="42" t="s">
        <v>20</v>
      </c>
      <c r="W17" s="42" t="s">
        <v>20</v>
      </c>
      <c r="X17" s="42" t="s">
        <v>20</v>
      </c>
      <c r="Y17" s="42" t="s">
        <v>20</v>
      </c>
      <c r="Z17" s="42" t="s">
        <v>20</v>
      </c>
      <c r="AA17" s="42"/>
    </row>
    <row r="18" ht="15.0" customHeight="1">
      <c r="A18" s="41"/>
      <c r="B18" s="41"/>
      <c r="C18" s="57"/>
      <c r="D18" s="42"/>
      <c r="E18" s="42" t="s">
        <v>16</v>
      </c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16</v>
      </c>
      <c r="R18" s="42" t="s">
        <v>20</v>
      </c>
      <c r="S18" s="42" t="s">
        <v>20</v>
      </c>
      <c r="T18" s="42" t="s">
        <v>20</v>
      </c>
      <c r="U18" s="42" t="s">
        <v>20</v>
      </c>
      <c r="V18" s="42" t="s">
        <v>20</v>
      </c>
      <c r="W18" s="42" t="s">
        <v>20</v>
      </c>
      <c r="X18" s="42" t="s">
        <v>20</v>
      </c>
      <c r="Y18" s="42" t="s">
        <v>20</v>
      </c>
      <c r="Z18" s="42" t="s">
        <v>20</v>
      </c>
      <c r="AA18" s="42"/>
    </row>
    <row r="19" ht="15.0" customHeight="1">
      <c r="A19" s="41"/>
      <c r="B19" s="41"/>
      <c r="C19" s="58"/>
      <c r="D19" s="42"/>
      <c r="E19" s="42" t="s">
        <v>16</v>
      </c>
      <c r="F19" s="42" t="s">
        <v>20</v>
      </c>
      <c r="G19" s="42" t="s">
        <v>20</v>
      </c>
      <c r="H19" s="42" t="s">
        <v>20</v>
      </c>
      <c r="I19" s="42" t="s">
        <v>20</v>
      </c>
      <c r="J19" s="42" t="s">
        <v>20</v>
      </c>
      <c r="K19" s="42" t="s">
        <v>20</v>
      </c>
      <c r="L19" s="42" t="s">
        <v>20</v>
      </c>
      <c r="M19" s="42" t="s">
        <v>20</v>
      </c>
      <c r="N19" s="42" t="s">
        <v>20</v>
      </c>
      <c r="O19" s="42" t="s">
        <v>20</v>
      </c>
      <c r="P19" s="42" t="s">
        <v>20</v>
      </c>
      <c r="Q19" s="42" t="s">
        <v>16</v>
      </c>
      <c r="R19" s="42" t="s">
        <v>20</v>
      </c>
      <c r="S19" s="42" t="s">
        <v>20</v>
      </c>
      <c r="T19" s="42" t="s">
        <v>20</v>
      </c>
      <c r="U19" s="42" t="s">
        <v>20</v>
      </c>
      <c r="V19" s="42" t="s">
        <v>20</v>
      </c>
      <c r="W19" s="42" t="s">
        <v>20</v>
      </c>
      <c r="X19" s="42" t="s">
        <v>20</v>
      </c>
      <c r="Y19" s="42" t="s">
        <v>20</v>
      </c>
      <c r="Z19" s="42" t="s">
        <v>20</v>
      </c>
      <c r="AA19" s="42"/>
    </row>
    <row r="20" ht="15.0" customHeight="1">
      <c r="A20" s="41"/>
      <c r="B20" s="41"/>
      <c r="C20" s="58"/>
      <c r="D20" s="42"/>
      <c r="E20" s="42" t="s">
        <v>16</v>
      </c>
      <c r="F20" s="42" t="s">
        <v>20</v>
      </c>
      <c r="G20" s="42" t="s">
        <v>20</v>
      </c>
      <c r="H20" s="42" t="s">
        <v>20</v>
      </c>
      <c r="I20" s="42" t="s">
        <v>20</v>
      </c>
      <c r="J20" s="42" t="s">
        <v>20</v>
      </c>
      <c r="K20" s="42" t="s">
        <v>20</v>
      </c>
      <c r="L20" s="42" t="s">
        <v>20</v>
      </c>
      <c r="M20" s="42" t="s">
        <v>20</v>
      </c>
      <c r="N20" s="42" t="s">
        <v>20</v>
      </c>
      <c r="O20" s="42" t="s">
        <v>20</v>
      </c>
      <c r="P20" s="42" t="s">
        <v>20</v>
      </c>
      <c r="Q20" s="42" t="s">
        <v>16</v>
      </c>
      <c r="R20" s="42" t="s">
        <v>20</v>
      </c>
      <c r="S20" s="42" t="s">
        <v>20</v>
      </c>
      <c r="T20" s="42" t="s">
        <v>20</v>
      </c>
      <c r="U20" s="42" t="s">
        <v>20</v>
      </c>
      <c r="V20" s="42" t="s">
        <v>20</v>
      </c>
      <c r="W20" s="42" t="s">
        <v>20</v>
      </c>
      <c r="X20" s="42" t="s">
        <v>20</v>
      </c>
      <c r="Y20" s="42" t="s">
        <v>20</v>
      </c>
      <c r="Z20" s="42" t="s">
        <v>20</v>
      </c>
      <c r="AA20" s="42"/>
    </row>
    <row r="21" ht="15.0" customHeight="1">
      <c r="A21" s="41"/>
      <c r="B21" s="41"/>
      <c r="C21" s="58"/>
      <c r="D21" s="42"/>
      <c r="E21" s="42" t="s">
        <v>16</v>
      </c>
      <c r="F21" s="42" t="s">
        <v>20</v>
      </c>
      <c r="G21" s="42" t="s">
        <v>20</v>
      </c>
      <c r="H21" s="42" t="s">
        <v>20</v>
      </c>
      <c r="I21" s="42" t="s">
        <v>20</v>
      </c>
      <c r="J21" s="42" t="s">
        <v>20</v>
      </c>
      <c r="K21" s="42" t="s">
        <v>20</v>
      </c>
      <c r="L21" s="42" t="s">
        <v>20</v>
      </c>
      <c r="M21" s="42" t="s">
        <v>20</v>
      </c>
      <c r="N21" s="42" t="s">
        <v>20</v>
      </c>
      <c r="O21" s="42" t="s">
        <v>20</v>
      </c>
      <c r="P21" s="42" t="s">
        <v>20</v>
      </c>
      <c r="Q21" s="42" t="s">
        <v>16</v>
      </c>
      <c r="R21" s="42" t="s">
        <v>20</v>
      </c>
      <c r="S21" s="42" t="s">
        <v>20</v>
      </c>
      <c r="T21" s="42" t="s">
        <v>20</v>
      </c>
      <c r="U21" s="42" t="s">
        <v>20</v>
      </c>
      <c r="V21" s="42" t="s">
        <v>20</v>
      </c>
      <c r="W21" s="42" t="s">
        <v>20</v>
      </c>
      <c r="X21" s="42" t="s">
        <v>20</v>
      </c>
      <c r="Y21" s="42" t="s">
        <v>20</v>
      </c>
      <c r="Z21" s="42" t="s">
        <v>20</v>
      </c>
      <c r="AA21" s="42"/>
    </row>
    <row r="22" ht="15.0" customHeight="1">
      <c r="A22" s="41"/>
      <c r="B22" s="41"/>
      <c r="C22" s="58"/>
      <c r="D22" s="42"/>
      <c r="E22" s="42" t="s">
        <v>16</v>
      </c>
      <c r="F22" s="42" t="s">
        <v>20</v>
      </c>
      <c r="G22" s="42" t="s">
        <v>20</v>
      </c>
      <c r="H22" s="42" t="s">
        <v>20</v>
      </c>
      <c r="I22" s="42" t="s">
        <v>20</v>
      </c>
      <c r="J22" s="42" t="s">
        <v>20</v>
      </c>
      <c r="K22" s="42" t="s">
        <v>20</v>
      </c>
      <c r="L22" s="42" t="s">
        <v>20</v>
      </c>
      <c r="M22" s="42" t="s">
        <v>20</v>
      </c>
      <c r="N22" s="42" t="s">
        <v>20</v>
      </c>
      <c r="O22" s="42" t="s">
        <v>20</v>
      </c>
      <c r="P22" s="42" t="s">
        <v>20</v>
      </c>
      <c r="Q22" s="42" t="s">
        <v>16</v>
      </c>
      <c r="R22" s="42" t="s">
        <v>20</v>
      </c>
      <c r="S22" s="42" t="s">
        <v>20</v>
      </c>
      <c r="T22" s="42" t="s">
        <v>20</v>
      </c>
      <c r="U22" s="42" t="s">
        <v>20</v>
      </c>
      <c r="V22" s="42" t="s">
        <v>20</v>
      </c>
      <c r="W22" s="42" t="s">
        <v>20</v>
      </c>
      <c r="X22" s="42" t="s">
        <v>20</v>
      </c>
      <c r="Y22" s="42" t="s">
        <v>20</v>
      </c>
      <c r="Z22" s="42" t="s">
        <v>20</v>
      </c>
      <c r="AA22" s="42"/>
    </row>
    <row r="23" ht="15.0" customHeight="1">
      <c r="A23" s="41"/>
      <c r="B23" s="41"/>
      <c r="C23" s="58"/>
      <c r="D23" s="42"/>
      <c r="E23" s="42" t="s">
        <v>16</v>
      </c>
      <c r="F23" s="42" t="s">
        <v>20</v>
      </c>
      <c r="G23" s="42" t="s">
        <v>20</v>
      </c>
      <c r="H23" s="42" t="s">
        <v>20</v>
      </c>
      <c r="I23" s="42" t="s">
        <v>20</v>
      </c>
      <c r="J23" s="42" t="s">
        <v>20</v>
      </c>
      <c r="K23" s="42" t="s">
        <v>20</v>
      </c>
      <c r="L23" s="42" t="s">
        <v>20</v>
      </c>
      <c r="M23" s="42" t="s">
        <v>20</v>
      </c>
      <c r="N23" s="42" t="s">
        <v>20</v>
      </c>
      <c r="O23" s="42" t="s">
        <v>20</v>
      </c>
      <c r="P23" s="42" t="s">
        <v>20</v>
      </c>
      <c r="Q23" s="42" t="s">
        <v>16</v>
      </c>
      <c r="R23" s="42" t="s">
        <v>20</v>
      </c>
      <c r="S23" s="42" t="s">
        <v>20</v>
      </c>
      <c r="T23" s="42" t="s">
        <v>20</v>
      </c>
      <c r="U23" s="42" t="s">
        <v>20</v>
      </c>
      <c r="V23" s="42" t="s">
        <v>20</v>
      </c>
      <c r="W23" s="42" t="s">
        <v>20</v>
      </c>
      <c r="X23" s="42" t="s">
        <v>20</v>
      </c>
      <c r="Y23" s="42" t="s">
        <v>20</v>
      </c>
      <c r="Z23" s="42" t="s">
        <v>20</v>
      </c>
      <c r="AA23" s="42"/>
    </row>
    <row r="24" ht="15.0" customHeight="1">
      <c r="A24" s="41"/>
      <c r="B24" s="41"/>
      <c r="C24" s="58"/>
      <c r="D24" s="42"/>
      <c r="E24" s="42" t="s">
        <v>16</v>
      </c>
      <c r="F24" s="42" t="s">
        <v>20</v>
      </c>
      <c r="G24" s="42" t="s">
        <v>20</v>
      </c>
      <c r="H24" s="42" t="s">
        <v>20</v>
      </c>
      <c r="I24" s="42" t="s">
        <v>20</v>
      </c>
      <c r="J24" s="42" t="s">
        <v>20</v>
      </c>
      <c r="K24" s="42" t="s">
        <v>20</v>
      </c>
      <c r="L24" s="42" t="s">
        <v>20</v>
      </c>
      <c r="M24" s="42" t="s">
        <v>20</v>
      </c>
      <c r="N24" s="42" t="s">
        <v>20</v>
      </c>
      <c r="O24" s="42" t="s">
        <v>20</v>
      </c>
      <c r="P24" s="42" t="s">
        <v>20</v>
      </c>
      <c r="Q24" s="42" t="s">
        <v>16</v>
      </c>
      <c r="R24" s="42" t="s">
        <v>20</v>
      </c>
      <c r="S24" s="42" t="s">
        <v>20</v>
      </c>
      <c r="T24" s="42" t="s">
        <v>20</v>
      </c>
      <c r="U24" s="42" t="s">
        <v>20</v>
      </c>
      <c r="V24" s="42" t="s">
        <v>20</v>
      </c>
      <c r="W24" s="42" t="s">
        <v>20</v>
      </c>
      <c r="X24" s="42" t="s">
        <v>20</v>
      </c>
      <c r="Y24" s="42" t="s">
        <v>20</v>
      </c>
      <c r="Z24" s="42" t="s">
        <v>20</v>
      </c>
      <c r="AA24" s="42"/>
    </row>
    <row r="25" ht="15.0" customHeight="1">
      <c r="A25" s="41"/>
      <c r="B25" s="41"/>
      <c r="C25" s="59"/>
      <c r="D25" s="42"/>
      <c r="E25" s="42" t="s">
        <v>16</v>
      </c>
      <c r="F25" s="42" t="s">
        <v>20</v>
      </c>
      <c r="G25" s="42" t="s">
        <v>20</v>
      </c>
      <c r="H25" s="42" t="s">
        <v>20</v>
      </c>
      <c r="I25" s="42" t="s">
        <v>20</v>
      </c>
      <c r="J25" s="42" t="s">
        <v>20</v>
      </c>
      <c r="K25" s="42" t="s">
        <v>20</v>
      </c>
      <c r="L25" s="42" t="s">
        <v>20</v>
      </c>
      <c r="M25" s="42" t="s">
        <v>20</v>
      </c>
      <c r="N25" s="42" t="s">
        <v>20</v>
      </c>
      <c r="O25" s="42" t="s">
        <v>20</v>
      </c>
      <c r="P25" s="42" t="s">
        <v>20</v>
      </c>
      <c r="Q25" s="42" t="s">
        <v>16</v>
      </c>
      <c r="R25" s="42" t="s">
        <v>20</v>
      </c>
      <c r="S25" s="42" t="s">
        <v>20</v>
      </c>
      <c r="T25" s="42" t="s">
        <v>20</v>
      </c>
      <c r="U25" s="42" t="s">
        <v>20</v>
      </c>
      <c r="V25" s="42" t="s">
        <v>20</v>
      </c>
      <c r="W25" s="42" t="s">
        <v>20</v>
      </c>
      <c r="X25" s="42" t="s">
        <v>20</v>
      </c>
      <c r="Y25" s="42" t="s">
        <v>20</v>
      </c>
      <c r="Z25" s="42" t="s">
        <v>20</v>
      </c>
      <c r="AA25" s="42"/>
    </row>
    <row r="26" ht="15.0" customHeight="1">
      <c r="A26" s="41"/>
      <c r="B26" s="41"/>
      <c r="C26" s="60"/>
      <c r="D26" s="42"/>
      <c r="E26" s="42" t="s">
        <v>16</v>
      </c>
      <c r="F26" s="42" t="s">
        <v>20</v>
      </c>
      <c r="G26" s="42" t="s">
        <v>20</v>
      </c>
      <c r="H26" s="42" t="s">
        <v>20</v>
      </c>
      <c r="I26" s="42" t="s">
        <v>20</v>
      </c>
      <c r="J26" s="42" t="s">
        <v>20</v>
      </c>
      <c r="K26" s="42" t="s">
        <v>20</v>
      </c>
      <c r="L26" s="42" t="s">
        <v>20</v>
      </c>
      <c r="M26" s="42" t="s">
        <v>20</v>
      </c>
      <c r="N26" s="42" t="s">
        <v>20</v>
      </c>
      <c r="O26" s="42" t="s">
        <v>20</v>
      </c>
      <c r="P26" s="42" t="s">
        <v>20</v>
      </c>
      <c r="Q26" s="42" t="s">
        <v>16</v>
      </c>
      <c r="R26" s="42" t="s">
        <v>20</v>
      </c>
      <c r="S26" s="42" t="s">
        <v>20</v>
      </c>
      <c r="T26" s="42" t="s">
        <v>20</v>
      </c>
      <c r="U26" s="42" t="s">
        <v>20</v>
      </c>
      <c r="V26" s="42" t="s">
        <v>20</v>
      </c>
      <c r="W26" s="42" t="s">
        <v>20</v>
      </c>
      <c r="X26" s="42" t="s">
        <v>20</v>
      </c>
      <c r="Y26" s="42" t="s">
        <v>20</v>
      </c>
      <c r="Z26" s="42" t="s">
        <v>20</v>
      </c>
      <c r="AA26" s="42"/>
    </row>
    <row r="27" ht="15.0" customHeight="1">
      <c r="A27" s="41"/>
      <c r="B27" s="41"/>
      <c r="C27" s="61"/>
      <c r="D27" s="42"/>
      <c r="E27" s="42" t="s">
        <v>16</v>
      </c>
      <c r="F27" s="42" t="s">
        <v>20</v>
      </c>
      <c r="G27" s="42" t="s">
        <v>20</v>
      </c>
      <c r="H27" s="42" t="s">
        <v>20</v>
      </c>
      <c r="I27" s="42" t="s">
        <v>20</v>
      </c>
      <c r="J27" s="42" t="s">
        <v>20</v>
      </c>
      <c r="K27" s="42" t="s">
        <v>20</v>
      </c>
      <c r="L27" s="42" t="s">
        <v>20</v>
      </c>
      <c r="M27" s="42" t="s">
        <v>20</v>
      </c>
      <c r="N27" s="42" t="s">
        <v>20</v>
      </c>
      <c r="O27" s="42" t="s">
        <v>20</v>
      </c>
      <c r="P27" s="42" t="s">
        <v>20</v>
      </c>
      <c r="Q27" s="42" t="s">
        <v>16</v>
      </c>
      <c r="R27" s="42" t="s">
        <v>20</v>
      </c>
      <c r="S27" s="42" t="s">
        <v>20</v>
      </c>
      <c r="T27" s="42" t="s">
        <v>20</v>
      </c>
      <c r="U27" s="42" t="s">
        <v>20</v>
      </c>
      <c r="V27" s="42" t="s">
        <v>20</v>
      </c>
      <c r="W27" s="42" t="s">
        <v>20</v>
      </c>
      <c r="X27" s="42" t="s">
        <v>20</v>
      </c>
      <c r="Y27" s="42" t="s">
        <v>20</v>
      </c>
      <c r="Z27" s="42" t="s">
        <v>20</v>
      </c>
      <c r="AA27" s="42"/>
    </row>
    <row r="28" ht="15.0" customHeight="1">
      <c r="A28" s="41"/>
      <c r="B28" s="41"/>
      <c r="C28" s="60"/>
      <c r="D28" s="42"/>
      <c r="E28" s="42" t="s">
        <v>16</v>
      </c>
      <c r="F28" s="42" t="s">
        <v>20</v>
      </c>
      <c r="G28" s="42" t="s">
        <v>20</v>
      </c>
      <c r="H28" s="42" t="s">
        <v>20</v>
      </c>
      <c r="I28" s="42" t="s">
        <v>20</v>
      </c>
      <c r="J28" s="42" t="s">
        <v>20</v>
      </c>
      <c r="K28" s="42" t="s">
        <v>20</v>
      </c>
      <c r="L28" s="42" t="s">
        <v>20</v>
      </c>
      <c r="M28" s="42" t="s">
        <v>20</v>
      </c>
      <c r="N28" s="42" t="s">
        <v>20</v>
      </c>
      <c r="O28" s="42" t="s">
        <v>20</v>
      </c>
      <c r="P28" s="42" t="s">
        <v>20</v>
      </c>
      <c r="Q28" s="42" t="s">
        <v>16</v>
      </c>
      <c r="R28" s="42" t="s">
        <v>20</v>
      </c>
      <c r="S28" s="42" t="s">
        <v>20</v>
      </c>
      <c r="T28" s="42" t="s">
        <v>20</v>
      </c>
      <c r="U28" s="42" t="s">
        <v>20</v>
      </c>
      <c r="V28" s="42" t="s">
        <v>20</v>
      </c>
      <c r="W28" s="42" t="s">
        <v>20</v>
      </c>
      <c r="X28" s="42" t="s">
        <v>20</v>
      </c>
      <c r="Y28" s="42" t="s">
        <v>20</v>
      </c>
      <c r="Z28" s="42" t="s">
        <v>20</v>
      </c>
      <c r="AA28" s="42"/>
    </row>
    <row r="29" ht="15.0" customHeight="1">
      <c r="A29" s="41"/>
      <c r="B29" s="41"/>
      <c r="C29" s="62"/>
      <c r="D29" s="42"/>
      <c r="E29" s="42" t="s">
        <v>16</v>
      </c>
      <c r="F29" s="42" t="s">
        <v>20</v>
      </c>
      <c r="G29" s="42" t="s">
        <v>20</v>
      </c>
      <c r="H29" s="42" t="s">
        <v>20</v>
      </c>
      <c r="I29" s="42" t="s">
        <v>20</v>
      </c>
      <c r="J29" s="42" t="s">
        <v>20</v>
      </c>
      <c r="K29" s="42" t="s">
        <v>20</v>
      </c>
      <c r="L29" s="42" t="s">
        <v>20</v>
      </c>
      <c r="M29" s="42" t="s">
        <v>20</v>
      </c>
      <c r="N29" s="42" t="s">
        <v>20</v>
      </c>
      <c r="O29" s="42" t="s">
        <v>20</v>
      </c>
      <c r="P29" s="42" t="s">
        <v>20</v>
      </c>
      <c r="Q29" s="42" t="s">
        <v>16</v>
      </c>
      <c r="R29" s="42" t="s">
        <v>20</v>
      </c>
      <c r="S29" s="42" t="s">
        <v>20</v>
      </c>
      <c r="T29" s="42" t="s">
        <v>20</v>
      </c>
      <c r="U29" s="42" t="s">
        <v>20</v>
      </c>
      <c r="V29" s="42" t="s">
        <v>20</v>
      </c>
      <c r="W29" s="42" t="s">
        <v>20</v>
      </c>
      <c r="X29" s="42" t="s">
        <v>20</v>
      </c>
      <c r="Y29" s="42" t="s">
        <v>20</v>
      </c>
      <c r="Z29" s="42" t="s">
        <v>20</v>
      </c>
      <c r="AA29" s="42"/>
    </row>
    <row r="30" ht="15.0" customHeight="1">
      <c r="A30" s="41"/>
      <c r="B30" s="41"/>
      <c r="C30" s="62"/>
      <c r="D30" s="42"/>
      <c r="E30" s="42" t="s">
        <v>16</v>
      </c>
      <c r="F30" s="42" t="s">
        <v>20</v>
      </c>
      <c r="G30" s="42" t="s">
        <v>20</v>
      </c>
      <c r="H30" s="42" t="s">
        <v>20</v>
      </c>
      <c r="I30" s="42" t="s">
        <v>20</v>
      </c>
      <c r="J30" s="42" t="s">
        <v>20</v>
      </c>
      <c r="K30" s="42" t="s">
        <v>20</v>
      </c>
      <c r="L30" s="42" t="s">
        <v>20</v>
      </c>
      <c r="M30" s="42" t="s">
        <v>20</v>
      </c>
      <c r="N30" s="42" t="s">
        <v>20</v>
      </c>
      <c r="O30" s="42" t="s">
        <v>20</v>
      </c>
      <c r="P30" s="42" t="s">
        <v>20</v>
      </c>
      <c r="Q30" s="42" t="s">
        <v>16</v>
      </c>
      <c r="R30" s="42" t="s">
        <v>20</v>
      </c>
      <c r="S30" s="42" t="s">
        <v>20</v>
      </c>
      <c r="T30" s="42" t="s">
        <v>20</v>
      </c>
      <c r="U30" s="42" t="s">
        <v>20</v>
      </c>
      <c r="V30" s="42" t="s">
        <v>20</v>
      </c>
      <c r="W30" s="42" t="s">
        <v>20</v>
      </c>
      <c r="X30" s="42" t="s">
        <v>20</v>
      </c>
      <c r="Y30" s="42" t="s">
        <v>20</v>
      </c>
      <c r="Z30" s="42" t="s">
        <v>20</v>
      </c>
      <c r="AA30" s="42"/>
    </row>
    <row r="31" ht="15.0" customHeight="1">
      <c r="A31" s="41"/>
      <c r="B31" s="41"/>
      <c r="C31" s="63"/>
      <c r="D31" s="42"/>
      <c r="E31" s="42" t="s">
        <v>16</v>
      </c>
      <c r="F31" s="42" t="s">
        <v>20</v>
      </c>
      <c r="G31" s="42" t="s">
        <v>20</v>
      </c>
      <c r="H31" s="42" t="s">
        <v>20</v>
      </c>
      <c r="I31" s="42" t="s">
        <v>20</v>
      </c>
      <c r="J31" s="42" t="s">
        <v>20</v>
      </c>
      <c r="K31" s="42" t="s">
        <v>20</v>
      </c>
      <c r="L31" s="42" t="s">
        <v>20</v>
      </c>
      <c r="M31" s="42" t="s">
        <v>20</v>
      </c>
      <c r="N31" s="42" t="s">
        <v>20</v>
      </c>
      <c r="O31" s="42" t="s">
        <v>20</v>
      </c>
      <c r="P31" s="42" t="s">
        <v>20</v>
      </c>
      <c r="Q31" s="42" t="s">
        <v>16</v>
      </c>
      <c r="R31" s="42" t="s">
        <v>20</v>
      </c>
      <c r="S31" s="42" t="s">
        <v>20</v>
      </c>
      <c r="T31" s="42" t="s">
        <v>20</v>
      </c>
      <c r="U31" s="42" t="s">
        <v>20</v>
      </c>
      <c r="V31" s="42" t="s">
        <v>20</v>
      </c>
      <c r="W31" s="42" t="s">
        <v>20</v>
      </c>
      <c r="X31" s="42" t="s">
        <v>20</v>
      </c>
      <c r="Y31" s="42" t="s">
        <v>20</v>
      </c>
      <c r="Z31" s="42" t="s">
        <v>20</v>
      </c>
      <c r="AA31" s="42"/>
    </row>
    <row r="32" ht="30.0" customHeight="1">
      <c r="A32" s="46"/>
      <c r="B32" s="46"/>
      <c r="C32" s="64"/>
      <c r="D32" s="48" t="s">
        <v>94</v>
      </c>
      <c r="E32" s="49">
        <f>IF((COUNTIF(#REF!,"*P*") + COUNTIF(#REF!, "*L*")) &gt;= 0, COUNTIF(#REF!,"*P*") + COUNTIF(#REF!, "*L*"), "")</f>
        <v>0</v>
      </c>
      <c r="F32" s="49">
        <f t="shared" ref="F32:G32" si="2">IF((COUNTIF(F8:F31,"*P*") + COUNTIF(F8:F31, "*L*")) &gt;= 0, COUNTIF(F8:F31,"*P*") + COUNTIF(F8:F31, "*L*"), "")</f>
        <v>0</v>
      </c>
      <c r="G32" s="49">
        <f t="shared" si="2"/>
        <v>0</v>
      </c>
      <c r="H32" s="49">
        <f>IF((COUNTIF(E8:E31,"*P*") + COUNTIF(E8:E31, "*L*")) &gt;= 0, COUNTIF(E8:E31,"*P*") + COUNTIF(E8:E31, "*L*"), "")</f>
        <v>0</v>
      </c>
      <c r="I32" s="49">
        <f t="shared" ref="I32:AA32" si="3">IF((COUNTIF(I8:I31,"*P*") + COUNTIF(I8:I31, "*L*")) &gt;= 0, COUNTIF(I8:I31,"*P*") + COUNTIF(I8:I31, "*L*"), "")</f>
        <v>0</v>
      </c>
      <c r="J32" s="49">
        <f t="shared" si="3"/>
        <v>0</v>
      </c>
      <c r="K32" s="49">
        <f t="shared" si="3"/>
        <v>0</v>
      </c>
      <c r="L32" s="49">
        <f t="shared" si="3"/>
        <v>0</v>
      </c>
      <c r="M32" s="49">
        <f t="shared" si="3"/>
        <v>0</v>
      </c>
      <c r="N32" s="49">
        <f t="shared" si="3"/>
        <v>0</v>
      </c>
      <c r="O32" s="49">
        <f t="shared" si="3"/>
        <v>0</v>
      </c>
      <c r="P32" s="49">
        <f t="shared" si="3"/>
        <v>0</v>
      </c>
      <c r="Q32" s="49">
        <f t="shared" si="3"/>
        <v>0</v>
      </c>
      <c r="R32" s="49">
        <f t="shared" si="3"/>
        <v>0</v>
      </c>
      <c r="S32" s="49">
        <f t="shared" si="3"/>
        <v>0</v>
      </c>
      <c r="T32" s="49">
        <f t="shared" si="3"/>
        <v>0</v>
      </c>
      <c r="U32" s="49">
        <f t="shared" si="3"/>
        <v>0</v>
      </c>
      <c r="V32" s="49">
        <f t="shared" si="3"/>
        <v>0</v>
      </c>
      <c r="W32" s="49">
        <f t="shared" si="3"/>
        <v>0</v>
      </c>
      <c r="X32" s="49">
        <f t="shared" si="3"/>
        <v>0</v>
      </c>
      <c r="Y32" s="49">
        <f t="shared" si="3"/>
        <v>0</v>
      </c>
      <c r="Z32" s="49">
        <f t="shared" si="3"/>
        <v>0</v>
      </c>
      <c r="AA32" s="49">
        <f t="shared" si="3"/>
        <v>0</v>
      </c>
    </row>
    <row r="33" ht="30.0" customHeight="1">
      <c r="A33" s="50"/>
      <c r="B33" s="51"/>
      <c r="C33" s="52"/>
      <c r="D33" s="53" t="s">
        <v>95</v>
      </c>
      <c r="E33" s="54">
        <f>IF((COUNTIF(#REF!,"*A*") + COUNTIF(#REF!, "*E*")) &gt;= 0, COUNTIF(#REF!,"*A*") + COUNTIF(#REF!, "*E*"), "")</f>
        <v>0</v>
      </c>
      <c r="F33" s="54">
        <f t="shared" ref="F33:G33" si="4">IF((COUNTIF(F8:F31,"*A*") + COUNTIF(F8:F31, "*E*")) &gt;= 0, COUNTIF(F8:F31,"*A*") + COUNTIF(F8:F31, "*E*"), "")</f>
        <v>0</v>
      </c>
      <c r="G33" s="54">
        <f t="shared" si="4"/>
        <v>0</v>
      </c>
      <c r="H33" s="54">
        <f>IF((COUNTIF(E8:E31,"*A*") + COUNTIF(E8:E31, "*E*")) &gt;= 0, COUNTIF(E8:E31,"*A*") + COUNTIF(E8:E31, "*E*"), "")</f>
        <v>0</v>
      </c>
      <c r="I33" s="54">
        <f t="shared" ref="I33:AA33" si="5">IF((COUNTIF(I8:I31,"*A*") + COUNTIF(I8:I31, "*E*")) &gt;= 0, COUNTIF(I8:I31,"*A*") + COUNTIF(I8:I31, "*E*"), "")</f>
        <v>0</v>
      </c>
      <c r="J33" s="54">
        <f t="shared" si="5"/>
        <v>0</v>
      </c>
      <c r="K33" s="54">
        <f t="shared" si="5"/>
        <v>0</v>
      </c>
      <c r="L33" s="54">
        <f t="shared" si="5"/>
        <v>0</v>
      </c>
      <c r="M33" s="54">
        <f t="shared" si="5"/>
        <v>0</v>
      </c>
      <c r="N33" s="54">
        <f t="shared" si="5"/>
        <v>0</v>
      </c>
      <c r="O33" s="54">
        <f t="shared" si="5"/>
        <v>0</v>
      </c>
      <c r="P33" s="54">
        <f t="shared" si="5"/>
        <v>0</v>
      </c>
      <c r="Q33" s="54">
        <f t="shared" si="5"/>
        <v>0</v>
      </c>
      <c r="R33" s="54">
        <f t="shared" si="5"/>
        <v>0</v>
      </c>
      <c r="S33" s="54">
        <f t="shared" si="5"/>
        <v>0</v>
      </c>
      <c r="T33" s="54">
        <f t="shared" si="5"/>
        <v>0</v>
      </c>
      <c r="U33" s="54">
        <f t="shared" si="5"/>
        <v>0</v>
      </c>
      <c r="V33" s="54">
        <f t="shared" si="5"/>
        <v>0</v>
      </c>
      <c r="W33" s="54">
        <f t="shared" si="5"/>
        <v>0</v>
      </c>
      <c r="X33" s="54">
        <f t="shared" si="5"/>
        <v>0</v>
      </c>
      <c r="Y33" s="54">
        <f t="shared" si="5"/>
        <v>0</v>
      </c>
      <c r="Z33" s="54">
        <f t="shared" si="5"/>
        <v>0</v>
      </c>
      <c r="AA33" s="54">
        <f t="shared" si="5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6">SUM(E32+E33)</f>
        <v>0</v>
      </c>
      <c r="F34" s="55">
        <f t="shared" si="6"/>
        <v>0</v>
      </c>
      <c r="G34" s="55">
        <f t="shared" si="6"/>
        <v>0</v>
      </c>
      <c r="H34" s="55">
        <f t="shared" si="6"/>
        <v>0</v>
      </c>
      <c r="I34" s="55">
        <f t="shared" si="6"/>
        <v>0</v>
      </c>
      <c r="J34" s="55">
        <f t="shared" si="6"/>
        <v>0</v>
      </c>
      <c r="K34" s="55">
        <f t="shared" si="6"/>
        <v>0</v>
      </c>
      <c r="L34" s="55">
        <f t="shared" si="6"/>
        <v>0</v>
      </c>
      <c r="M34" s="55">
        <f t="shared" si="6"/>
        <v>0</v>
      </c>
      <c r="N34" s="55">
        <f t="shared" si="6"/>
        <v>0</v>
      </c>
      <c r="O34" s="55">
        <f t="shared" si="6"/>
        <v>0</v>
      </c>
      <c r="P34" s="55">
        <f t="shared" si="6"/>
        <v>0</v>
      </c>
      <c r="Q34" s="55">
        <f t="shared" si="6"/>
        <v>0</v>
      </c>
      <c r="R34" s="55">
        <f t="shared" si="6"/>
        <v>0</v>
      </c>
      <c r="S34" s="55">
        <f t="shared" si="6"/>
        <v>0</v>
      </c>
      <c r="T34" s="55">
        <f t="shared" si="6"/>
        <v>0</v>
      </c>
      <c r="U34" s="55">
        <f t="shared" si="6"/>
        <v>0</v>
      </c>
      <c r="V34" s="55">
        <f t="shared" si="6"/>
        <v>0</v>
      </c>
      <c r="W34" s="55">
        <f t="shared" si="6"/>
        <v>0</v>
      </c>
      <c r="X34" s="55">
        <f t="shared" si="6"/>
        <v>0</v>
      </c>
      <c r="Y34" s="55">
        <f t="shared" si="6"/>
        <v>0</v>
      </c>
      <c r="Z34" s="55">
        <f t="shared" si="6"/>
        <v>0</v>
      </c>
      <c r="AA34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3">
        <f>COUNTIF(D7:D31, "Student - Active") + COUNTIF(D7:D31, "Student - Added")
</f>
        <v>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3">
        <f>COUNTIF(D7:D31, "Student Aide - Active") + COUNTIF(D7:D31,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/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46055.0</v>
      </c>
      <c r="F7" s="40">
        <v>46056.0</v>
      </c>
      <c r="G7" s="40">
        <v>46057.0</v>
      </c>
      <c r="H7" s="40">
        <v>46058.0</v>
      </c>
      <c r="I7" s="40">
        <v>46059.0</v>
      </c>
      <c r="J7" s="40">
        <v>46062.0</v>
      </c>
      <c r="K7" s="40">
        <v>46063.0</v>
      </c>
      <c r="L7" s="40">
        <v>46064.0</v>
      </c>
      <c r="M7" s="40">
        <v>46065.0</v>
      </c>
      <c r="N7" s="40">
        <v>46066.0</v>
      </c>
      <c r="O7" s="40">
        <v>46069.0</v>
      </c>
      <c r="P7" s="40">
        <v>46070.0</v>
      </c>
      <c r="Q7" s="40">
        <v>46071.0</v>
      </c>
      <c r="R7" s="40">
        <v>46072.0</v>
      </c>
      <c r="S7" s="40">
        <v>46073.0</v>
      </c>
      <c r="T7" s="40">
        <v>46076.0</v>
      </c>
      <c r="U7" s="40">
        <v>46077.0</v>
      </c>
      <c r="V7" s="40">
        <v>46078.0</v>
      </c>
      <c r="W7" s="40">
        <v>46079.0</v>
      </c>
      <c r="X7" s="40">
        <v>46080.0</v>
      </c>
      <c r="Y7" s="40"/>
      <c r="Z7" s="40"/>
      <c r="AA7" s="40"/>
    </row>
    <row r="8" ht="15.0" customHeight="1">
      <c r="A8" s="41"/>
      <c r="B8" s="41"/>
      <c r="C8" s="42"/>
      <c r="D8" s="42"/>
      <c r="E8" s="42" t="s">
        <v>20</v>
      </c>
      <c r="F8" s="42" t="s">
        <v>20</v>
      </c>
      <c r="G8" s="42" t="s">
        <v>20</v>
      </c>
      <c r="H8" s="42" t="s">
        <v>20</v>
      </c>
      <c r="I8" s="42" t="s">
        <v>20</v>
      </c>
      <c r="J8" s="42" t="s">
        <v>20</v>
      </c>
      <c r="K8" s="42" t="s">
        <v>20</v>
      </c>
      <c r="L8" s="42" t="s">
        <v>20</v>
      </c>
      <c r="M8" s="42" t="s">
        <v>20</v>
      </c>
      <c r="N8" s="42" t="s">
        <v>20</v>
      </c>
      <c r="O8" s="42" t="s">
        <v>16</v>
      </c>
      <c r="P8" s="42" t="s">
        <v>20</v>
      </c>
      <c r="Q8" s="42" t="s">
        <v>20</v>
      </c>
      <c r="R8" s="42" t="s">
        <v>20</v>
      </c>
      <c r="S8" s="42" t="s">
        <v>20</v>
      </c>
      <c r="T8" s="42" t="s">
        <v>20</v>
      </c>
      <c r="U8" s="42" t="s">
        <v>20</v>
      </c>
      <c r="V8" s="42" t="s">
        <v>20</v>
      </c>
      <c r="W8" s="42" t="s">
        <v>20</v>
      </c>
      <c r="X8" s="42" t="s">
        <v>20</v>
      </c>
      <c r="Y8" s="42"/>
      <c r="Z8" s="42"/>
      <c r="AA8" s="42"/>
    </row>
    <row r="9" ht="15.0" customHeight="1">
      <c r="A9" s="41"/>
      <c r="B9" s="41"/>
      <c r="C9" s="42"/>
      <c r="D9" s="42"/>
      <c r="E9" s="42" t="s">
        <v>20</v>
      </c>
      <c r="F9" s="42" t="s">
        <v>20</v>
      </c>
      <c r="G9" s="42" t="s">
        <v>20</v>
      </c>
      <c r="H9" s="42" t="s">
        <v>20</v>
      </c>
      <c r="I9" s="42" t="s">
        <v>20</v>
      </c>
      <c r="J9" s="42" t="s">
        <v>20</v>
      </c>
      <c r="K9" s="42" t="s">
        <v>20</v>
      </c>
      <c r="L9" s="42" t="s">
        <v>20</v>
      </c>
      <c r="M9" s="42" t="s">
        <v>20</v>
      </c>
      <c r="N9" s="42" t="s">
        <v>20</v>
      </c>
      <c r="O9" s="42" t="s">
        <v>16</v>
      </c>
      <c r="P9" s="42" t="s">
        <v>20</v>
      </c>
      <c r="Q9" s="42" t="s">
        <v>20</v>
      </c>
      <c r="R9" s="42" t="s">
        <v>20</v>
      </c>
      <c r="S9" s="42" t="s">
        <v>20</v>
      </c>
      <c r="T9" s="42" t="s">
        <v>20</v>
      </c>
      <c r="U9" s="42" t="s">
        <v>20</v>
      </c>
      <c r="V9" s="42" t="s">
        <v>20</v>
      </c>
      <c r="W9" s="42" t="s">
        <v>20</v>
      </c>
      <c r="X9" s="42" t="s">
        <v>20</v>
      </c>
      <c r="Y9" s="42"/>
      <c r="Z9" s="42"/>
      <c r="AA9" s="42"/>
    </row>
    <row r="10" ht="15.0" customHeight="1">
      <c r="A10" s="41"/>
      <c r="B10" s="41"/>
      <c r="C10" s="42"/>
      <c r="D10" s="42"/>
      <c r="E10" s="42" t="s">
        <v>20</v>
      </c>
      <c r="F10" s="42" t="s">
        <v>20</v>
      </c>
      <c r="G10" s="42" t="s">
        <v>20</v>
      </c>
      <c r="H10" s="42" t="s">
        <v>20</v>
      </c>
      <c r="I10" s="42" t="s">
        <v>20</v>
      </c>
      <c r="J10" s="42" t="s">
        <v>20</v>
      </c>
      <c r="K10" s="42" t="s">
        <v>20</v>
      </c>
      <c r="L10" s="42" t="s">
        <v>20</v>
      </c>
      <c r="M10" s="42" t="s">
        <v>20</v>
      </c>
      <c r="N10" s="42" t="s">
        <v>20</v>
      </c>
      <c r="O10" s="42" t="s">
        <v>16</v>
      </c>
      <c r="P10" s="42" t="s">
        <v>20</v>
      </c>
      <c r="Q10" s="42" t="s">
        <v>20</v>
      </c>
      <c r="R10" s="42" t="s">
        <v>20</v>
      </c>
      <c r="S10" s="42" t="s">
        <v>20</v>
      </c>
      <c r="T10" s="42" t="s">
        <v>20</v>
      </c>
      <c r="U10" s="42" t="s">
        <v>20</v>
      </c>
      <c r="V10" s="42" t="s">
        <v>20</v>
      </c>
      <c r="W10" s="42" t="s">
        <v>20</v>
      </c>
      <c r="X10" s="42" t="s">
        <v>20</v>
      </c>
      <c r="Y10" s="42"/>
      <c r="Z10" s="42"/>
      <c r="AA10" s="42"/>
    </row>
    <row r="11" ht="15.0" customHeight="1">
      <c r="A11" s="41"/>
      <c r="B11" s="41"/>
      <c r="C11" s="42"/>
      <c r="D11" s="42"/>
      <c r="E11" s="42" t="s">
        <v>20</v>
      </c>
      <c r="F11" s="42" t="s">
        <v>20</v>
      </c>
      <c r="G11" s="42" t="s">
        <v>20</v>
      </c>
      <c r="H11" s="42" t="s">
        <v>20</v>
      </c>
      <c r="I11" s="42" t="s">
        <v>20</v>
      </c>
      <c r="J11" s="42" t="s">
        <v>20</v>
      </c>
      <c r="K11" s="42" t="s">
        <v>20</v>
      </c>
      <c r="L11" s="42" t="s">
        <v>20</v>
      </c>
      <c r="M11" s="42" t="s">
        <v>20</v>
      </c>
      <c r="N11" s="42" t="s">
        <v>20</v>
      </c>
      <c r="O11" s="42" t="s">
        <v>16</v>
      </c>
      <c r="P11" s="42" t="s">
        <v>20</v>
      </c>
      <c r="Q11" s="42" t="s">
        <v>20</v>
      </c>
      <c r="R11" s="42" t="s">
        <v>20</v>
      </c>
      <c r="S11" s="42" t="s">
        <v>20</v>
      </c>
      <c r="T11" s="42" t="s">
        <v>20</v>
      </c>
      <c r="U11" s="42" t="s">
        <v>20</v>
      </c>
      <c r="V11" s="42" t="s">
        <v>20</v>
      </c>
      <c r="W11" s="42" t="s">
        <v>20</v>
      </c>
      <c r="X11" s="42" t="s">
        <v>20</v>
      </c>
      <c r="Y11" s="42"/>
      <c r="Z11" s="42"/>
      <c r="AA11" s="42"/>
    </row>
    <row r="12" ht="15.0" customHeight="1">
      <c r="A12" s="41"/>
      <c r="B12" s="41"/>
      <c r="C12" s="42"/>
      <c r="D12" s="42"/>
      <c r="E12" s="42" t="s">
        <v>20</v>
      </c>
      <c r="F12" s="42" t="s">
        <v>20</v>
      </c>
      <c r="G12" s="42" t="s">
        <v>20</v>
      </c>
      <c r="H12" s="42" t="s">
        <v>20</v>
      </c>
      <c r="I12" s="42" t="s">
        <v>20</v>
      </c>
      <c r="J12" s="42" t="s">
        <v>20</v>
      </c>
      <c r="K12" s="42" t="s">
        <v>20</v>
      </c>
      <c r="L12" s="42" t="s">
        <v>20</v>
      </c>
      <c r="M12" s="42" t="s">
        <v>20</v>
      </c>
      <c r="N12" s="42" t="s">
        <v>20</v>
      </c>
      <c r="O12" s="42" t="s">
        <v>16</v>
      </c>
      <c r="P12" s="42" t="s">
        <v>20</v>
      </c>
      <c r="Q12" s="42" t="s">
        <v>20</v>
      </c>
      <c r="R12" s="42" t="s">
        <v>20</v>
      </c>
      <c r="S12" s="42" t="s">
        <v>20</v>
      </c>
      <c r="T12" s="42" t="s">
        <v>20</v>
      </c>
      <c r="U12" s="42" t="s">
        <v>20</v>
      </c>
      <c r="V12" s="42" t="s">
        <v>20</v>
      </c>
      <c r="W12" s="42" t="s">
        <v>20</v>
      </c>
      <c r="X12" s="42" t="s">
        <v>20</v>
      </c>
      <c r="Y12" s="42"/>
      <c r="Z12" s="42"/>
      <c r="AA12" s="42"/>
    </row>
    <row r="13" ht="15.0" customHeight="1">
      <c r="A13" s="41"/>
      <c r="B13" s="41"/>
      <c r="C13" s="42"/>
      <c r="D13" s="42"/>
      <c r="E13" s="42" t="s">
        <v>20</v>
      </c>
      <c r="F13" s="42" t="s">
        <v>20</v>
      </c>
      <c r="G13" s="42" t="s">
        <v>20</v>
      </c>
      <c r="H13" s="42" t="s">
        <v>20</v>
      </c>
      <c r="I13" s="42" t="s">
        <v>20</v>
      </c>
      <c r="J13" s="42" t="s">
        <v>20</v>
      </c>
      <c r="K13" s="42" t="s">
        <v>20</v>
      </c>
      <c r="L13" s="42" t="s">
        <v>20</v>
      </c>
      <c r="M13" s="42" t="s">
        <v>20</v>
      </c>
      <c r="N13" s="42" t="s">
        <v>20</v>
      </c>
      <c r="O13" s="42" t="s">
        <v>16</v>
      </c>
      <c r="P13" s="42" t="s">
        <v>20</v>
      </c>
      <c r="Q13" s="42" t="s">
        <v>20</v>
      </c>
      <c r="R13" s="42" t="s">
        <v>20</v>
      </c>
      <c r="S13" s="42" t="s">
        <v>20</v>
      </c>
      <c r="T13" s="42" t="s">
        <v>20</v>
      </c>
      <c r="U13" s="42" t="s">
        <v>20</v>
      </c>
      <c r="V13" s="42" t="s">
        <v>20</v>
      </c>
      <c r="W13" s="42" t="s">
        <v>20</v>
      </c>
      <c r="X13" s="42" t="s">
        <v>20</v>
      </c>
      <c r="Y13" s="42"/>
      <c r="Z13" s="42"/>
      <c r="AA13" s="42"/>
    </row>
    <row r="14" ht="15.0" customHeight="1">
      <c r="A14" s="41"/>
      <c r="B14" s="41"/>
      <c r="C14" s="42"/>
      <c r="D14" s="42"/>
      <c r="E14" s="42" t="s">
        <v>20</v>
      </c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16</v>
      </c>
      <c r="P14" s="42" t="s">
        <v>20</v>
      </c>
      <c r="Q14" s="42" t="s">
        <v>20</v>
      </c>
      <c r="R14" s="42" t="s">
        <v>20</v>
      </c>
      <c r="S14" s="42" t="s">
        <v>20</v>
      </c>
      <c r="T14" s="42" t="s">
        <v>20</v>
      </c>
      <c r="U14" s="42" t="s">
        <v>20</v>
      </c>
      <c r="V14" s="42" t="s">
        <v>20</v>
      </c>
      <c r="W14" s="42" t="s">
        <v>20</v>
      </c>
      <c r="X14" s="42" t="s">
        <v>20</v>
      </c>
      <c r="Y14" s="42"/>
      <c r="Z14" s="42"/>
      <c r="AA14" s="42"/>
    </row>
    <row r="15" ht="15.0" customHeight="1">
      <c r="A15" s="41"/>
      <c r="B15" s="41"/>
      <c r="C15" s="42"/>
      <c r="D15" s="42"/>
      <c r="E15" s="42" t="s">
        <v>20</v>
      </c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16</v>
      </c>
      <c r="P15" s="42" t="s">
        <v>20</v>
      </c>
      <c r="Q15" s="42" t="s">
        <v>20</v>
      </c>
      <c r="R15" s="42" t="s">
        <v>20</v>
      </c>
      <c r="S15" s="42" t="s">
        <v>20</v>
      </c>
      <c r="T15" s="42" t="s">
        <v>20</v>
      </c>
      <c r="U15" s="42" t="s">
        <v>20</v>
      </c>
      <c r="V15" s="42" t="s">
        <v>20</v>
      </c>
      <c r="W15" s="42" t="s">
        <v>20</v>
      </c>
      <c r="X15" s="42" t="s">
        <v>20</v>
      </c>
      <c r="Y15" s="42"/>
      <c r="Z15" s="42"/>
      <c r="AA15" s="42"/>
    </row>
    <row r="16" ht="15.0" customHeight="1">
      <c r="A16" s="41"/>
      <c r="B16" s="41"/>
      <c r="C16" s="42"/>
      <c r="D16" s="42"/>
      <c r="E16" s="42" t="s">
        <v>20</v>
      </c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16</v>
      </c>
      <c r="P16" s="42" t="s">
        <v>20</v>
      </c>
      <c r="Q16" s="42" t="s">
        <v>20</v>
      </c>
      <c r="R16" s="42" t="s">
        <v>20</v>
      </c>
      <c r="S16" s="42" t="s">
        <v>20</v>
      </c>
      <c r="T16" s="42" t="s">
        <v>20</v>
      </c>
      <c r="U16" s="42" t="s">
        <v>20</v>
      </c>
      <c r="V16" s="42" t="s">
        <v>20</v>
      </c>
      <c r="W16" s="42" t="s">
        <v>20</v>
      </c>
      <c r="X16" s="42" t="s">
        <v>20</v>
      </c>
      <c r="Y16" s="42"/>
      <c r="Z16" s="42"/>
      <c r="AA16" s="42"/>
    </row>
    <row r="17" ht="15.0" customHeight="1">
      <c r="A17" s="41"/>
      <c r="B17" s="41"/>
      <c r="C17" s="42"/>
      <c r="D17" s="42"/>
      <c r="E17" s="42" t="s">
        <v>20</v>
      </c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16</v>
      </c>
      <c r="P17" s="42" t="s">
        <v>20</v>
      </c>
      <c r="Q17" s="42" t="s">
        <v>20</v>
      </c>
      <c r="R17" s="42" t="s">
        <v>20</v>
      </c>
      <c r="S17" s="42" t="s">
        <v>20</v>
      </c>
      <c r="T17" s="42" t="s">
        <v>20</v>
      </c>
      <c r="U17" s="42" t="s">
        <v>20</v>
      </c>
      <c r="V17" s="42" t="s">
        <v>20</v>
      </c>
      <c r="W17" s="42" t="s">
        <v>20</v>
      </c>
      <c r="X17" s="42" t="s">
        <v>20</v>
      </c>
      <c r="Y17" s="42"/>
      <c r="Z17" s="42"/>
      <c r="AA17" s="42"/>
    </row>
    <row r="18" ht="15.0" customHeight="1">
      <c r="A18" s="41"/>
      <c r="B18" s="41"/>
      <c r="C18" s="42"/>
      <c r="D18" s="42"/>
      <c r="E18" s="42" t="s">
        <v>20</v>
      </c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16</v>
      </c>
      <c r="P18" s="42" t="s">
        <v>20</v>
      </c>
      <c r="Q18" s="42" t="s">
        <v>20</v>
      </c>
      <c r="R18" s="42" t="s">
        <v>20</v>
      </c>
      <c r="S18" s="42" t="s">
        <v>20</v>
      </c>
      <c r="T18" s="42" t="s">
        <v>20</v>
      </c>
      <c r="U18" s="42" t="s">
        <v>20</v>
      </c>
      <c r="V18" s="42" t="s">
        <v>20</v>
      </c>
      <c r="W18" s="42" t="s">
        <v>20</v>
      </c>
      <c r="X18" s="42" t="s">
        <v>20</v>
      </c>
      <c r="Y18" s="42"/>
      <c r="Z18" s="42"/>
      <c r="AA18" s="42"/>
    </row>
    <row r="19" ht="15.0" customHeight="1">
      <c r="A19" s="41"/>
      <c r="B19" s="41"/>
      <c r="C19" s="42"/>
      <c r="D19" s="42"/>
      <c r="E19" s="42" t="s">
        <v>20</v>
      </c>
      <c r="F19" s="42" t="s">
        <v>20</v>
      </c>
      <c r="G19" s="42" t="s">
        <v>20</v>
      </c>
      <c r="H19" s="42" t="s">
        <v>20</v>
      </c>
      <c r="I19" s="42" t="s">
        <v>20</v>
      </c>
      <c r="J19" s="42" t="s">
        <v>20</v>
      </c>
      <c r="K19" s="42" t="s">
        <v>20</v>
      </c>
      <c r="L19" s="42" t="s">
        <v>20</v>
      </c>
      <c r="M19" s="42" t="s">
        <v>20</v>
      </c>
      <c r="N19" s="42" t="s">
        <v>20</v>
      </c>
      <c r="O19" s="42" t="s">
        <v>16</v>
      </c>
      <c r="P19" s="42" t="s">
        <v>20</v>
      </c>
      <c r="Q19" s="42" t="s">
        <v>20</v>
      </c>
      <c r="R19" s="42" t="s">
        <v>20</v>
      </c>
      <c r="S19" s="42" t="s">
        <v>20</v>
      </c>
      <c r="T19" s="42" t="s">
        <v>20</v>
      </c>
      <c r="U19" s="42" t="s">
        <v>20</v>
      </c>
      <c r="V19" s="42" t="s">
        <v>20</v>
      </c>
      <c r="W19" s="42" t="s">
        <v>20</v>
      </c>
      <c r="X19" s="42" t="s">
        <v>20</v>
      </c>
      <c r="Y19" s="42"/>
      <c r="Z19" s="42"/>
      <c r="AA19" s="42"/>
    </row>
    <row r="20" ht="15.0" customHeight="1">
      <c r="A20" s="41"/>
      <c r="B20" s="41"/>
      <c r="C20" s="42"/>
      <c r="D20" s="42"/>
      <c r="E20" s="42" t="s">
        <v>20</v>
      </c>
      <c r="F20" s="42" t="s">
        <v>20</v>
      </c>
      <c r="G20" s="42" t="s">
        <v>20</v>
      </c>
      <c r="H20" s="42" t="s">
        <v>20</v>
      </c>
      <c r="I20" s="42" t="s">
        <v>20</v>
      </c>
      <c r="J20" s="42" t="s">
        <v>20</v>
      </c>
      <c r="K20" s="42" t="s">
        <v>20</v>
      </c>
      <c r="L20" s="42" t="s">
        <v>20</v>
      </c>
      <c r="M20" s="42" t="s">
        <v>20</v>
      </c>
      <c r="N20" s="42" t="s">
        <v>20</v>
      </c>
      <c r="O20" s="42" t="s">
        <v>16</v>
      </c>
      <c r="P20" s="42" t="s">
        <v>20</v>
      </c>
      <c r="Q20" s="42" t="s">
        <v>20</v>
      </c>
      <c r="R20" s="42" t="s">
        <v>20</v>
      </c>
      <c r="S20" s="42" t="s">
        <v>20</v>
      </c>
      <c r="T20" s="42" t="s">
        <v>20</v>
      </c>
      <c r="U20" s="42" t="s">
        <v>20</v>
      </c>
      <c r="V20" s="42" t="s">
        <v>20</v>
      </c>
      <c r="W20" s="42" t="s">
        <v>20</v>
      </c>
      <c r="X20" s="42" t="s">
        <v>20</v>
      </c>
      <c r="Y20" s="42"/>
      <c r="Z20" s="42"/>
      <c r="AA20" s="42"/>
    </row>
    <row r="21" ht="15.0" customHeight="1">
      <c r="A21" s="41"/>
      <c r="B21" s="41"/>
      <c r="C21" s="42"/>
      <c r="D21" s="42"/>
      <c r="E21" s="42" t="s">
        <v>20</v>
      </c>
      <c r="F21" s="42" t="s">
        <v>20</v>
      </c>
      <c r="G21" s="42" t="s">
        <v>20</v>
      </c>
      <c r="H21" s="42" t="s">
        <v>20</v>
      </c>
      <c r="I21" s="42" t="s">
        <v>20</v>
      </c>
      <c r="J21" s="42" t="s">
        <v>20</v>
      </c>
      <c r="K21" s="42" t="s">
        <v>20</v>
      </c>
      <c r="L21" s="42" t="s">
        <v>20</v>
      </c>
      <c r="M21" s="42" t="s">
        <v>20</v>
      </c>
      <c r="N21" s="42" t="s">
        <v>20</v>
      </c>
      <c r="O21" s="42" t="s">
        <v>16</v>
      </c>
      <c r="P21" s="42" t="s">
        <v>20</v>
      </c>
      <c r="Q21" s="42" t="s">
        <v>20</v>
      </c>
      <c r="R21" s="42" t="s">
        <v>20</v>
      </c>
      <c r="S21" s="42" t="s">
        <v>20</v>
      </c>
      <c r="T21" s="42" t="s">
        <v>20</v>
      </c>
      <c r="U21" s="42" t="s">
        <v>20</v>
      </c>
      <c r="V21" s="42" t="s">
        <v>20</v>
      </c>
      <c r="W21" s="42" t="s">
        <v>20</v>
      </c>
      <c r="X21" s="42" t="s">
        <v>20</v>
      </c>
      <c r="Y21" s="42"/>
      <c r="Z21" s="42"/>
      <c r="AA21" s="42"/>
    </row>
    <row r="22" ht="15.0" customHeight="1">
      <c r="A22" s="41"/>
      <c r="B22" s="41"/>
      <c r="C22" s="42"/>
      <c r="D22" s="42"/>
      <c r="E22" s="42" t="s">
        <v>20</v>
      </c>
      <c r="F22" s="42" t="s">
        <v>20</v>
      </c>
      <c r="G22" s="42" t="s">
        <v>20</v>
      </c>
      <c r="H22" s="42" t="s">
        <v>20</v>
      </c>
      <c r="I22" s="42" t="s">
        <v>20</v>
      </c>
      <c r="J22" s="42" t="s">
        <v>20</v>
      </c>
      <c r="K22" s="42" t="s">
        <v>20</v>
      </c>
      <c r="L22" s="42" t="s">
        <v>20</v>
      </c>
      <c r="M22" s="42" t="s">
        <v>20</v>
      </c>
      <c r="N22" s="42" t="s">
        <v>20</v>
      </c>
      <c r="O22" s="42" t="s">
        <v>16</v>
      </c>
      <c r="P22" s="42" t="s">
        <v>20</v>
      </c>
      <c r="Q22" s="42" t="s">
        <v>20</v>
      </c>
      <c r="R22" s="42" t="s">
        <v>20</v>
      </c>
      <c r="S22" s="42" t="s">
        <v>20</v>
      </c>
      <c r="T22" s="42" t="s">
        <v>20</v>
      </c>
      <c r="U22" s="42" t="s">
        <v>20</v>
      </c>
      <c r="V22" s="42" t="s">
        <v>20</v>
      </c>
      <c r="W22" s="42" t="s">
        <v>20</v>
      </c>
      <c r="X22" s="42" t="s">
        <v>20</v>
      </c>
      <c r="Y22" s="42"/>
      <c r="Z22" s="42"/>
      <c r="AA22" s="42"/>
    </row>
    <row r="23" ht="15.0" customHeight="1">
      <c r="A23" s="41"/>
      <c r="B23" s="41"/>
      <c r="C23" s="42"/>
      <c r="D23" s="42"/>
      <c r="E23" s="42" t="s">
        <v>20</v>
      </c>
      <c r="F23" s="42" t="s">
        <v>20</v>
      </c>
      <c r="G23" s="42" t="s">
        <v>20</v>
      </c>
      <c r="H23" s="42" t="s">
        <v>20</v>
      </c>
      <c r="I23" s="42" t="s">
        <v>20</v>
      </c>
      <c r="J23" s="42" t="s">
        <v>20</v>
      </c>
      <c r="K23" s="42" t="s">
        <v>20</v>
      </c>
      <c r="L23" s="42" t="s">
        <v>20</v>
      </c>
      <c r="M23" s="42" t="s">
        <v>20</v>
      </c>
      <c r="N23" s="42" t="s">
        <v>20</v>
      </c>
      <c r="O23" s="42" t="s">
        <v>16</v>
      </c>
      <c r="P23" s="42" t="s">
        <v>20</v>
      </c>
      <c r="Q23" s="42" t="s">
        <v>20</v>
      </c>
      <c r="R23" s="42" t="s">
        <v>20</v>
      </c>
      <c r="S23" s="42" t="s">
        <v>20</v>
      </c>
      <c r="T23" s="42" t="s">
        <v>20</v>
      </c>
      <c r="U23" s="42" t="s">
        <v>20</v>
      </c>
      <c r="V23" s="42" t="s">
        <v>20</v>
      </c>
      <c r="W23" s="42" t="s">
        <v>20</v>
      </c>
      <c r="X23" s="42" t="s">
        <v>20</v>
      </c>
      <c r="Y23" s="42"/>
      <c r="Z23" s="42"/>
      <c r="AA23" s="42"/>
    </row>
    <row r="24" ht="15.0" customHeight="1">
      <c r="A24" s="41"/>
      <c r="B24" s="41"/>
      <c r="C24" s="42"/>
      <c r="D24" s="42"/>
      <c r="E24" s="42" t="s">
        <v>20</v>
      </c>
      <c r="F24" s="42" t="s">
        <v>20</v>
      </c>
      <c r="G24" s="42" t="s">
        <v>20</v>
      </c>
      <c r="H24" s="42" t="s">
        <v>20</v>
      </c>
      <c r="I24" s="42" t="s">
        <v>20</v>
      </c>
      <c r="J24" s="42" t="s">
        <v>20</v>
      </c>
      <c r="K24" s="42" t="s">
        <v>20</v>
      </c>
      <c r="L24" s="42" t="s">
        <v>20</v>
      </c>
      <c r="M24" s="42" t="s">
        <v>20</v>
      </c>
      <c r="N24" s="42" t="s">
        <v>20</v>
      </c>
      <c r="O24" s="42" t="s">
        <v>16</v>
      </c>
      <c r="P24" s="42" t="s">
        <v>20</v>
      </c>
      <c r="Q24" s="42" t="s">
        <v>20</v>
      </c>
      <c r="R24" s="42" t="s">
        <v>20</v>
      </c>
      <c r="S24" s="42" t="s">
        <v>20</v>
      </c>
      <c r="T24" s="42" t="s">
        <v>20</v>
      </c>
      <c r="U24" s="42" t="s">
        <v>20</v>
      </c>
      <c r="V24" s="42" t="s">
        <v>20</v>
      </c>
      <c r="W24" s="42" t="s">
        <v>20</v>
      </c>
      <c r="X24" s="42" t="s">
        <v>20</v>
      </c>
      <c r="Y24" s="42"/>
      <c r="Z24" s="42"/>
      <c r="AA24" s="42"/>
    </row>
    <row r="25" ht="15.0" customHeight="1">
      <c r="A25" s="44"/>
      <c r="B25" s="44"/>
      <c r="C25" s="45"/>
      <c r="D25" s="42"/>
      <c r="E25" s="42" t="s">
        <v>20</v>
      </c>
      <c r="F25" s="42" t="s">
        <v>20</v>
      </c>
      <c r="G25" s="42" t="s">
        <v>20</v>
      </c>
      <c r="H25" s="42" t="s">
        <v>20</v>
      </c>
      <c r="I25" s="42" t="s">
        <v>20</v>
      </c>
      <c r="J25" s="42" t="s">
        <v>20</v>
      </c>
      <c r="K25" s="42" t="s">
        <v>20</v>
      </c>
      <c r="L25" s="42" t="s">
        <v>20</v>
      </c>
      <c r="M25" s="42" t="s">
        <v>20</v>
      </c>
      <c r="N25" s="42" t="s">
        <v>20</v>
      </c>
      <c r="O25" s="42" t="s">
        <v>16</v>
      </c>
      <c r="P25" s="42" t="s">
        <v>20</v>
      </c>
      <c r="Q25" s="42" t="s">
        <v>20</v>
      </c>
      <c r="R25" s="42" t="s">
        <v>20</v>
      </c>
      <c r="S25" s="42" t="s">
        <v>20</v>
      </c>
      <c r="T25" s="42" t="s">
        <v>20</v>
      </c>
      <c r="U25" s="42" t="s">
        <v>20</v>
      </c>
      <c r="V25" s="42" t="s">
        <v>20</v>
      </c>
      <c r="W25" s="42" t="s">
        <v>20</v>
      </c>
      <c r="X25" s="42" t="s">
        <v>20</v>
      </c>
      <c r="Y25" s="42"/>
      <c r="Z25" s="42"/>
      <c r="AA25" s="42"/>
    </row>
    <row r="26" ht="15.0" customHeight="1">
      <c r="A26" s="44"/>
      <c r="B26" s="44"/>
      <c r="C26" s="45"/>
      <c r="D26" s="45"/>
      <c r="E26" s="42" t="s">
        <v>20</v>
      </c>
      <c r="F26" s="42" t="s">
        <v>20</v>
      </c>
      <c r="G26" s="42" t="s">
        <v>20</v>
      </c>
      <c r="H26" s="42" t="s">
        <v>20</v>
      </c>
      <c r="I26" s="42" t="s">
        <v>20</v>
      </c>
      <c r="J26" s="42" t="s">
        <v>20</v>
      </c>
      <c r="K26" s="42" t="s">
        <v>20</v>
      </c>
      <c r="L26" s="42" t="s">
        <v>20</v>
      </c>
      <c r="M26" s="42" t="s">
        <v>20</v>
      </c>
      <c r="N26" s="42" t="s">
        <v>20</v>
      </c>
      <c r="O26" s="42" t="s">
        <v>16</v>
      </c>
      <c r="P26" s="42" t="s">
        <v>20</v>
      </c>
      <c r="Q26" s="42" t="s">
        <v>20</v>
      </c>
      <c r="R26" s="42" t="s">
        <v>20</v>
      </c>
      <c r="S26" s="42" t="s">
        <v>20</v>
      </c>
      <c r="T26" s="42" t="s">
        <v>20</v>
      </c>
      <c r="U26" s="42" t="s">
        <v>20</v>
      </c>
      <c r="V26" s="42" t="s">
        <v>20</v>
      </c>
      <c r="W26" s="42" t="s">
        <v>20</v>
      </c>
      <c r="X26" s="42" t="s">
        <v>20</v>
      </c>
      <c r="Y26" s="42"/>
      <c r="Z26" s="42"/>
      <c r="AA26" s="42"/>
    </row>
    <row r="27" ht="15.0" customHeight="1">
      <c r="A27" s="44"/>
      <c r="B27" s="44"/>
      <c r="C27" s="45"/>
      <c r="D27" s="45"/>
      <c r="E27" s="42" t="s">
        <v>20</v>
      </c>
      <c r="F27" s="42" t="s">
        <v>20</v>
      </c>
      <c r="G27" s="42" t="s">
        <v>20</v>
      </c>
      <c r="H27" s="42" t="s">
        <v>20</v>
      </c>
      <c r="I27" s="42" t="s">
        <v>20</v>
      </c>
      <c r="J27" s="42" t="s">
        <v>20</v>
      </c>
      <c r="K27" s="42" t="s">
        <v>20</v>
      </c>
      <c r="L27" s="42" t="s">
        <v>20</v>
      </c>
      <c r="M27" s="42" t="s">
        <v>20</v>
      </c>
      <c r="N27" s="42" t="s">
        <v>20</v>
      </c>
      <c r="O27" s="42" t="s">
        <v>16</v>
      </c>
      <c r="P27" s="42" t="s">
        <v>20</v>
      </c>
      <c r="Q27" s="42" t="s">
        <v>20</v>
      </c>
      <c r="R27" s="42" t="s">
        <v>20</v>
      </c>
      <c r="S27" s="42" t="s">
        <v>20</v>
      </c>
      <c r="T27" s="42" t="s">
        <v>20</v>
      </c>
      <c r="U27" s="42" t="s">
        <v>20</v>
      </c>
      <c r="V27" s="42" t="s">
        <v>20</v>
      </c>
      <c r="W27" s="42" t="s">
        <v>20</v>
      </c>
      <c r="X27" s="42" t="s">
        <v>20</v>
      </c>
      <c r="Y27" s="42"/>
      <c r="Z27" s="42"/>
      <c r="AA27" s="42"/>
    </row>
    <row r="28" ht="15.0" customHeight="1">
      <c r="A28" s="44"/>
      <c r="B28" s="44"/>
      <c r="C28" s="45"/>
      <c r="D28" s="45"/>
      <c r="E28" s="42" t="s">
        <v>20</v>
      </c>
      <c r="F28" s="42" t="s">
        <v>20</v>
      </c>
      <c r="G28" s="42" t="s">
        <v>20</v>
      </c>
      <c r="H28" s="42" t="s">
        <v>20</v>
      </c>
      <c r="I28" s="42" t="s">
        <v>20</v>
      </c>
      <c r="J28" s="42" t="s">
        <v>20</v>
      </c>
      <c r="K28" s="42" t="s">
        <v>20</v>
      </c>
      <c r="L28" s="42" t="s">
        <v>20</v>
      </c>
      <c r="M28" s="42" t="s">
        <v>20</v>
      </c>
      <c r="N28" s="42" t="s">
        <v>20</v>
      </c>
      <c r="O28" s="42" t="s">
        <v>16</v>
      </c>
      <c r="P28" s="42" t="s">
        <v>20</v>
      </c>
      <c r="Q28" s="42" t="s">
        <v>20</v>
      </c>
      <c r="R28" s="42" t="s">
        <v>20</v>
      </c>
      <c r="S28" s="42" t="s">
        <v>20</v>
      </c>
      <c r="T28" s="42" t="s">
        <v>20</v>
      </c>
      <c r="U28" s="42" t="s">
        <v>20</v>
      </c>
      <c r="V28" s="42" t="s">
        <v>20</v>
      </c>
      <c r="W28" s="42" t="s">
        <v>20</v>
      </c>
      <c r="X28" s="42" t="s">
        <v>20</v>
      </c>
      <c r="Y28" s="42"/>
      <c r="Z28" s="42"/>
      <c r="AA28" s="42"/>
    </row>
    <row r="29" ht="15.0" customHeight="1">
      <c r="A29" s="44"/>
      <c r="B29" s="44"/>
      <c r="C29" s="45"/>
      <c r="D29" s="45"/>
      <c r="E29" s="42" t="s">
        <v>20</v>
      </c>
      <c r="F29" s="42" t="s">
        <v>20</v>
      </c>
      <c r="G29" s="42" t="s">
        <v>20</v>
      </c>
      <c r="H29" s="42" t="s">
        <v>20</v>
      </c>
      <c r="I29" s="42" t="s">
        <v>20</v>
      </c>
      <c r="J29" s="42" t="s">
        <v>20</v>
      </c>
      <c r="K29" s="42" t="s">
        <v>20</v>
      </c>
      <c r="L29" s="42" t="s">
        <v>20</v>
      </c>
      <c r="M29" s="42" t="s">
        <v>20</v>
      </c>
      <c r="N29" s="42" t="s">
        <v>20</v>
      </c>
      <c r="O29" s="42" t="s">
        <v>16</v>
      </c>
      <c r="P29" s="42" t="s">
        <v>20</v>
      </c>
      <c r="Q29" s="42" t="s">
        <v>20</v>
      </c>
      <c r="R29" s="42" t="s">
        <v>20</v>
      </c>
      <c r="S29" s="42" t="s">
        <v>20</v>
      </c>
      <c r="T29" s="42" t="s">
        <v>20</v>
      </c>
      <c r="U29" s="42" t="s">
        <v>20</v>
      </c>
      <c r="V29" s="42" t="s">
        <v>20</v>
      </c>
      <c r="W29" s="42" t="s">
        <v>20</v>
      </c>
      <c r="X29" s="42" t="s">
        <v>20</v>
      </c>
      <c r="Y29" s="42"/>
      <c r="Z29" s="42"/>
      <c r="AA29" s="42"/>
    </row>
    <row r="30" ht="15.0" customHeight="1">
      <c r="A30" s="44"/>
      <c r="B30" s="44"/>
      <c r="C30" s="45"/>
      <c r="D30" s="45"/>
      <c r="E30" s="42" t="s">
        <v>20</v>
      </c>
      <c r="F30" s="42" t="s">
        <v>20</v>
      </c>
      <c r="G30" s="42" t="s">
        <v>20</v>
      </c>
      <c r="H30" s="42" t="s">
        <v>20</v>
      </c>
      <c r="I30" s="42" t="s">
        <v>20</v>
      </c>
      <c r="J30" s="42" t="s">
        <v>20</v>
      </c>
      <c r="K30" s="42" t="s">
        <v>20</v>
      </c>
      <c r="L30" s="42" t="s">
        <v>20</v>
      </c>
      <c r="M30" s="42" t="s">
        <v>20</v>
      </c>
      <c r="N30" s="42" t="s">
        <v>20</v>
      </c>
      <c r="O30" s="42" t="s">
        <v>16</v>
      </c>
      <c r="P30" s="42" t="s">
        <v>20</v>
      </c>
      <c r="Q30" s="42" t="s">
        <v>20</v>
      </c>
      <c r="R30" s="42" t="s">
        <v>20</v>
      </c>
      <c r="S30" s="42" t="s">
        <v>20</v>
      </c>
      <c r="T30" s="42" t="s">
        <v>20</v>
      </c>
      <c r="U30" s="42" t="s">
        <v>20</v>
      </c>
      <c r="V30" s="42" t="s">
        <v>20</v>
      </c>
      <c r="W30" s="42" t="s">
        <v>20</v>
      </c>
      <c r="X30" s="42" t="s">
        <v>20</v>
      </c>
      <c r="Y30" s="42"/>
      <c r="Z30" s="42"/>
      <c r="AA30" s="42"/>
    </row>
    <row r="31" ht="15.0" customHeight="1">
      <c r="A31" s="44"/>
      <c r="B31" s="44"/>
      <c r="C31" s="45"/>
      <c r="D31" s="45"/>
      <c r="E31" s="42" t="s">
        <v>20</v>
      </c>
      <c r="F31" s="42" t="s">
        <v>20</v>
      </c>
      <c r="G31" s="42" t="s">
        <v>20</v>
      </c>
      <c r="H31" s="42" t="s">
        <v>20</v>
      </c>
      <c r="I31" s="42" t="s">
        <v>20</v>
      </c>
      <c r="J31" s="42" t="s">
        <v>20</v>
      </c>
      <c r="K31" s="42" t="s">
        <v>20</v>
      </c>
      <c r="L31" s="42" t="s">
        <v>20</v>
      </c>
      <c r="M31" s="42" t="s">
        <v>20</v>
      </c>
      <c r="N31" s="42" t="s">
        <v>20</v>
      </c>
      <c r="O31" s="42" t="s">
        <v>16</v>
      </c>
      <c r="P31" s="42" t="s">
        <v>20</v>
      </c>
      <c r="Q31" s="42" t="s">
        <v>20</v>
      </c>
      <c r="R31" s="42" t="s">
        <v>20</v>
      </c>
      <c r="S31" s="42" t="s">
        <v>20</v>
      </c>
      <c r="T31" s="42" t="s">
        <v>20</v>
      </c>
      <c r="U31" s="42" t="s">
        <v>20</v>
      </c>
      <c r="V31" s="42" t="s">
        <v>20</v>
      </c>
      <c r="W31" s="42" t="s">
        <v>20</v>
      </c>
      <c r="X31" s="42" t="s">
        <v>20</v>
      </c>
      <c r="Y31" s="42"/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0</v>
      </c>
      <c r="L32" s="49">
        <f t="shared" si="2"/>
        <v>0</v>
      </c>
      <c r="M32" s="49">
        <f t="shared" si="2"/>
        <v>0</v>
      </c>
      <c r="N32" s="49">
        <f t="shared" si="2"/>
        <v>0</v>
      </c>
      <c r="O32" s="49">
        <f t="shared" si="2"/>
        <v>0</v>
      </c>
      <c r="P32" s="49">
        <f t="shared" si="2"/>
        <v>0</v>
      </c>
      <c r="Q32" s="49">
        <f t="shared" si="2"/>
        <v>0</v>
      </c>
      <c r="R32" s="49">
        <f t="shared" si="2"/>
        <v>0</v>
      </c>
      <c r="S32" s="49">
        <f t="shared" si="2"/>
        <v>0</v>
      </c>
      <c r="T32" s="49">
        <f t="shared" si="2"/>
        <v>0</v>
      </c>
      <c r="U32" s="49">
        <f t="shared" si="2"/>
        <v>0</v>
      </c>
      <c r="V32" s="49">
        <f t="shared" si="2"/>
        <v>0</v>
      </c>
      <c r="W32" s="49">
        <f t="shared" si="2"/>
        <v>0</v>
      </c>
      <c r="X32" s="49">
        <f t="shared" si="2"/>
        <v>0</v>
      </c>
      <c r="Y32" s="49">
        <f t="shared" si="2"/>
        <v>0</v>
      </c>
      <c r="Z32" s="49">
        <f t="shared" si="2"/>
        <v>0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0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0</v>
      </c>
      <c r="L34" s="55">
        <f t="shared" si="4"/>
        <v>0</v>
      </c>
      <c r="M34" s="55">
        <f t="shared" si="4"/>
        <v>0</v>
      </c>
      <c r="N34" s="55">
        <f t="shared" si="4"/>
        <v>0</v>
      </c>
      <c r="O34" s="55">
        <f t="shared" si="4"/>
        <v>0</v>
      </c>
      <c r="P34" s="55">
        <f t="shared" si="4"/>
        <v>0</v>
      </c>
      <c r="Q34" s="55">
        <f t="shared" si="4"/>
        <v>0</v>
      </c>
      <c r="R34" s="55">
        <f t="shared" si="4"/>
        <v>0</v>
      </c>
      <c r="S34" s="55">
        <f t="shared" si="4"/>
        <v>0</v>
      </c>
      <c r="T34" s="55">
        <f t="shared" si="4"/>
        <v>0</v>
      </c>
      <c r="U34" s="55">
        <f t="shared" si="4"/>
        <v>0</v>
      </c>
      <c r="V34" s="55">
        <f t="shared" si="4"/>
        <v>0</v>
      </c>
      <c r="W34" s="55">
        <f t="shared" si="4"/>
        <v>0</v>
      </c>
      <c r="X34" s="55">
        <f t="shared" si="4"/>
        <v>0</v>
      </c>
      <c r="Y34" s="55">
        <f t="shared" si="4"/>
        <v>0</v>
      </c>
      <c r="Z34" s="55">
        <f t="shared" si="4"/>
        <v>0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20.0</v>
      </c>
      <c r="K2" s="29" t="s">
        <v>37</v>
      </c>
      <c r="N2" s="33">
        <f t="shared" ref="N2:N3" si="1">SUM(E32:AA32)</f>
        <v>371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102</v>
      </c>
      <c r="E3" s="29" t="s">
        <v>42</v>
      </c>
      <c r="H3" s="32">
        <v>4.0</v>
      </c>
      <c r="K3" s="29" t="s">
        <v>43</v>
      </c>
      <c r="N3" s="33">
        <f t="shared" si="1"/>
        <v>13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103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384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>
        <f>SUM(N2/N4)</f>
        <v>0.9661458333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46083.0</v>
      </c>
      <c r="F7" s="40">
        <v>46084.0</v>
      </c>
      <c r="G7" s="40">
        <v>46085.0</v>
      </c>
      <c r="H7" s="40">
        <v>46086.0</v>
      </c>
      <c r="I7" s="40">
        <v>46087.0</v>
      </c>
      <c r="J7" s="40">
        <v>46090.0</v>
      </c>
      <c r="K7" s="40">
        <v>46091.0</v>
      </c>
      <c r="L7" s="40">
        <v>46092.0</v>
      </c>
      <c r="M7" s="40">
        <v>46093.0</v>
      </c>
      <c r="N7" s="40">
        <v>46094.0</v>
      </c>
      <c r="O7" s="40">
        <v>46097.0</v>
      </c>
      <c r="P7" s="40">
        <v>46098.0</v>
      </c>
      <c r="Q7" s="40">
        <v>46099.0</v>
      </c>
      <c r="R7" s="40">
        <v>46100.0</v>
      </c>
      <c r="S7" s="40">
        <v>46101.0</v>
      </c>
      <c r="T7" s="40">
        <v>46104.0</v>
      </c>
      <c r="U7" s="40">
        <v>46105.0</v>
      </c>
      <c r="V7" s="40">
        <v>46106.0</v>
      </c>
      <c r="W7" s="40">
        <v>46107.0</v>
      </c>
      <c r="X7" s="40">
        <v>46108.0</v>
      </c>
      <c r="Y7" s="40">
        <v>46111.0</v>
      </c>
      <c r="Z7" s="40">
        <v>46112.0</v>
      </c>
      <c r="AA7" s="40"/>
    </row>
    <row r="8" ht="15.0" customHeight="1">
      <c r="A8" s="41" t="s">
        <v>104</v>
      </c>
      <c r="B8" s="41" t="s">
        <v>105</v>
      </c>
      <c r="C8" s="57" t="s">
        <v>106</v>
      </c>
      <c r="D8" s="42" t="s">
        <v>78</v>
      </c>
      <c r="E8" s="42" t="s">
        <v>20</v>
      </c>
      <c r="F8" s="42" t="s">
        <v>20</v>
      </c>
      <c r="G8" s="42" t="s">
        <v>20</v>
      </c>
      <c r="H8" s="42" t="s">
        <v>20</v>
      </c>
      <c r="I8" s="42" t="s">
        <v>20</v>
      </c>
      <c r="J8" s="42" t="s">
        <v>20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10</v>
      </c>
      <c r="U8" s="42" t="s">
        <v>4</v>
      </c>
      <c r="V8" s="42" t="s">
        <v>4</v>
      </c>
      <c r="W8" s="65" t="s">
        <v>4</v>
      </c>
      <c r="X8" s="65" t="s">
        <v>4</v>
      </c>
      <c r="Y8" s="65" t="s">
        <v>4</v>
      </c>
      <c r="Z8" s="65" t="s">
        <v>4</v>
      </c>
      <c r="AA8" s="42"/>
    </row>
    <row r="9" ht="15.0" customHeight="1">
      <c r="A9" s="66" t="s">
        <v>107</v>
      </c>
      <c r="B9" s="66" t="s">
        <v>108</v>
      </c>
      <c r="C9" s="67" t="s">
        <v>109</v>
      </c>
      <c r="D9" s="68" t="s">
        <v>68</v>
      </c>
      <c r="E9" s="68" t="s">
        <v>20</v>
      </c>
      <c r="F9" s="68" t="s">
        <v>20</v>
      </c>
      <c r="G9" s="68" t="s">
        <v>20</v>
      </c>
      <c r="H9" s="68" t="s">
        <v>20</v>
      </c>
      <c r="I9" s="68" t="s">
        <v>20</v>
      </c>
      <c r="J9" s="68" t="s">
        <v>20</v>
      </c>
      <c r="K9" s="68" t="s">
        <v>4</v>
      </c>
      <c r="L9" s="68" t="s">
        <v>4</v>
      </c>
      <c r="M9" s="68" t="s">
        <v>10</v>
      </c>
      <c r="N9" s="68" t="s">
        <v>10</v>
      </c>
      <c r="O9" s="68" t="s">
        <v>4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9" t="s">
        <v>4</v>
      </c>
      <c r="X9" s="69" t="s">
        <v>4</v>
      </c>
      <c r="Y9" s="69" t="s">
        <v>4</v>
      </c>
      <c r="Z9" s="69" t="s">
        <v>4</v>
      </c>
      <c r="AA9" s="42"/>
    </row>
    <row r="10" ht="15.0" customHeight="1">
      <c r="A10" s="41" t="s">
        <v>110</v>
      </c>
      <c r="B10" s="41" t="s">
        <v>111</v>
      </c>
      <c r="C10" s="58" t="s">
        <v>112</v>
      </c>
      <c r="D10" s="42" t="s">
        <v>78</v>
      </c>
      <c r="E10" s="42" t="s">
        <v>20</v>
      </c>
      <c r="F10" s="42" t="s">
        <v>20</v>
      </c>
      <c r="G10" s="42" t="s">
        <v>20</v>
      </c>
      <c r="H10" s="42" t="s">
        <v>20</v>
      </c>
      <c r="I10" s="42" t="s">
        <v>20</v>
      </c>
      <c r="J10" s="42" t="s">
        <v>20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65" t="s">
        <v>4</v>
      </c>
      <c r="X10" s="65" t="s">
        <v>4</v>
      </c>
      <c r="Y10" s="65" t="s">
        <v>4</v>
      </c>
      <c r="Z10" s="65" t="s">
        <v>4</v>
      </c>
      <c r="AA10" s="42"/>
    </row>
    <row r="11" ht="15.0" customHeight="1">
      <c r="A11" s="41" t="s">
        <v>113</v>
      </c>
      <c r="B11" s="41" t="s">
        <v>114</v>
      </c>
      <c r="C11" s="58">
        <v>343819.0</v>
      </c>
      <c r="D11" s="42" t="s">
        <v>78</v>
      </c>
      <c r="E11" s="42" t="s">
        <v>20</v>
      </c>
      <c r="F11" s="42" t="s">
        <v>20</v>
      </c>
      <c r="G11" s="42" t="s">
        <v>20</v>
      </c>
      <c r="H11" s="42" t="s">
        <v>20</v>
      </c>
      <c r="I11" s="42" t="s">
        <v>20</v>
      </c>
      <c r="J11" s="42" t="s">
        <v>20</v>
      </c>
      <c r="K11" s="42" t="s">
        <v>4</v>
      </c>
      <c r="L11" s="42" t="s">
        <v>10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65" t="s">
        <v>4</v>
      </c>
      <c r="X11" s="65" t="s">
        <v>4</v>
      </c>
      <c r="Y11" s="65" t="s">
        <v>4</v>
      </c>
      <c r="Z11" s="65" t="s">
        <v>4</v>
      </c>
      <c r="AA11" s="42"/>
    </row>
    <row r="12" ht="15.0" customHeight="1">
      <c r="A12" s="41" t="s">
        <v>115</v>
      </c>
      <c r="B12" s="41" t="s">
        <v>105</v>
      </c>
      <c r="C12" s="58" t="s">
        <v>116</v>
      </c>
      <c r="D12" s="42" t="s">
        <v>78</v>
      </c>
      <c r="E12" s="42" t="s">
        <v>20</v>
      </c>
      <c r="F12" s="42" t="s">
        <v>20</v>
      </c>
      <c r="G12" s="42" t="s">
        <v>20</v>
      </c>
      <c r="H12" s="42" t="s">
        <v>20</v>
      </c>
      <c r="I12" s="42" t="s">
        <v>20</v>
      </c>
      <c r="J12" s="42" t="s">
        <v>20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65" t="s">
        <v>4</v>
      </c>
      <c r="X12" s="65" t="s">
        <v>4</v>
      </c>
      <c r="Y12" s="65" t="s">
        <v>4</v>
      </c>
      <c r="Z12" s="65" t="s">
        <v>4</v>
      </c>
      <c r="AA12" s="42"/>
    </row>
    <row r="13" ht="15.0" customHeight="1">
      <c r="A13" s="41" t="s">
        <v>117</v>
      </c>
      <c r="B13" s="41" t="s">
        <v>118</v>
      </c>
      <c r="C13" s="58" t="s">
        <v>119</v>
      </c>
      <c r="D13" s="42" t="s">
        <v>78</v>
      </c>
      <c r="E13" s="42" t="s">
        <v>20</v>
      </c>
      <c r="F13" s="42" t="s">
        <v>20</v>
      </c>
      <c r="G13" s="42" t="s">
        <v>20</v>
      </c>
      <c r="H13" s="42" t="s">
        <v>20</v>
      </c>
      <c r="I13" s="42" t="s">
        <v>20</v>
      </c>
      <c r="J13" s="42" t="s">
        <v>20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70" t="s">
        <v>4</v>
      </c>
      <c r="X13" s="70" t="s">
        <v>4</v>
      </c>
      <c r="Y13" s="70" t="s">
        <v>4</v>
      </c>
      <c r="Z13" s="70" t="s">
        <v>4</v>
      </c>
      <c r="AA13" s="42"/>
    </row>
    <row r="14" ht="15.0" customHeight="1">
      <c r="A14" s="41" t="s">
        <v>120</v>
      </c>
      <c r="B14" s="41" t="s">
        <v>121</v>
      </c>
      <c r="C14" s="58" t="s">
        <v>122</v>
      </c>
      <c r="D14" s="42" t="s">
        <v>78</v>
      </c>
      <c r="E14" s="42" t="s">
        <v>20</v>
      </c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65" t="s">
        <v>4</v>
      </c>
      <c r="X14" s="65" t="s">
        <v>4</v>
      </c>
      <c r="Y14" s="65" t="s">
        <v>4</v>
      </c>
      <c r="Z14" s="65" t="s">
        <v>4</v>
      </c>
      <c r="AA14" s="42"/>
    </row>
    <row r="15" ht="15.0" customHeight="1">
      <c r="A15" s="41" t="s">
        <v>123</v>
      </c>
      <c r="B15" s="41" t="s">
        <v>124</v>
      </c>
      <c r="C15" s="58" t="s">
        <v>125</v>
      </c>
      <c r="D15" s="42" t="s">
        <v>78</v>
      </c>
      <c r="E15" s="42" t="s">
        <v>20</v>
      </c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65" t="s">
        <v>4</v>
      </c>
      <c r="X15" s="65" t="s">
        <v>4</v>
      </c>
      <c r="Y15" s="65" t="s">
        <v>4</v>
      </c>
      <c r="Z15" s="65" t="s">
        <v>4</v>
      </c>
      <c r="AA15" s="42"/>
    </row>
    <row r="16" ht="15.0" customHeight="1">
      <c r="A16" s="41" t="s">
        <v>126</v>
      </c>
      <c r="B16" s="41" t="s">
        <v>127</v>
      </c>
      <c r="C16" s="58">
        <v>154362.0</v>
      </c>
      <c r="D16" s="42" t="s">
        <v>78</v>
      </c>
      <c r="E16" s="42" t="s">
        <v>20</v>
      </c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65" t="s">
        <v>4</v>
      </c>
      <c r="X16" s="65" t="s">
        <v>4</v>
      </c>
      <c r="Y16" s="65" t="s">
        <v>4</v>
      </c>
      <c r="Z16" s="65" t="s">
        <v>4</v>
      </c>
      <c r="AA16" s="42"/>
    </row>
    <row r="17" ht="15.0" customHeight="1">
      <c r="A17" s="41" t="s">
        <v>128</v>
      </c>
      <c r="B17" s="41" t="s">
        <v>129</v>
      </c>
      <c r="C17" s="58" t="s">
        <v>130</v>
      </c>
      <c r="D17" s="42" t="s">
        <v>78</v>
      </c>
      <c r="E17" s="42" t="s">
        <v>20</v>
      </c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65" t="s">
        <v>4</v>
      </c>
      <c r="X17" s="65" t="s">
        <v>4</v>
      </c>
      <c r="Y17" s="65" t="s">
        <v>4</v>
      </c>
      <c r="Z17" s="65" t="s">
        <v>4</v>
      </c>
      <c r="AA17" s="42"/>
    </row>
    <row r="18" ht="15.0" customHeight="1">
      <c r="A18" s="66" t="s">
        <v>131</v>
      </c>
      <c r="B18" s="66" t="s">
        <v>132</v>
      </c>
      <c r="C18" s="67" t="s">
        <v>133</v>
      </c>
      <c r="D18" s="68" t="s">
        <v>68</v>
      </c>
      <c r="E18" s="68" t="s">
        <v>20</v>
      </c>
      <c r="F18" s="68" t="s">
        <v>20</v>
      </c>
      <c r="G18" s="68" t="s">
        <v>20</v>
      </c>
      <c r="H18" s="68" t="s">
        <v>20</v>
      </c>
      <c r="I18" s="68" t="s">
        <v>20</v>
      </c>
      <c r="J18" s="68" t="s">
        <v>20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71" t="s">
        <v>4</v>
      </c>
      <c r="X18" s="71" t="s">
        <v>4</v>
      </c>
      <c r="Y18" s="71" t="s">
        <v>4</v>
      </c>
      <c r="Z18" s="71" t="s">
        <v>4</v>
      </c>
      <c r="AA18" s="42"/>
    </row>
    <row r="19" ht="15.0" customHeight="1">
      <c r="A19" s="41" t="s">
        <v>134</v>
      </c>
      <c r="B19" s="41" t="s">
        <v>135</v>
      </c>
      <c r="C19" s="58">
        <v>524536.0</v>
      </c>
      <c r="D19" s="42" t="s">
        <v>78</v>
      </c>
      <c r="E19" s="42" t="s">
        <v>20</v>
      </c>
      <c r="F19" s="42" t="s">
        <v>20</v>
      </c>
      <c r="G19" s="42" t="s">
        <v>20</v>
      </c>
      <c r="H19" s="42" t="s">
        <v>20</v>
      </c>
      <c r="I19" s="42" t="s">
        <v>20</v>
      </c>
      <c r="J19" s="42" t="s">
        <v>20</v>
      </c>
      <c r="K19" s="42" t="s">
        <v>6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65" t="s">
        <v>4</v>
      </c>
      <c r="X19" s="65" t="s">
        <v>4</v>
      </c>
      <c r="Y19" s="65" t="s">
        <v>4</v>
      </c>
      <c r="Z19" s="65" t="s">
        <v>4</v>
      </c>
      <c r="AA19" s="42"/>
    </row>
    <row r="20" ht="15.0" customHeight="1">
      <c r="A20" s="41" t="s">
        <v>136</v>
      </c>
      <c r="B20" s="41" t="s">
        <v>121</v>
      </c>
      <c r="C20" s="58" t="s">
        <v>137</v>
      </c>
      <c r="D20" s="42" t="s">
        <v>78</v>
      </c>
      <c r="E20" s="42" t="s">
        <v>20</v>
      </c>
      <c r="F20" s="42" t="s">
        <v>20</v>
      </c>
      <c r="G20" s="42" t="s">
        <v>20</v>
      </c>
      <c r="H20" s="42" t="s">
        <v>20</v>
      </c>
      <c r="I20" s="42" t="s">
        <v>20</v>
      </c>
      <c r="J20" s="42" t="s">
        <v>20</v>
      </c>
      <c r="K20" s="42" t="s">
        <v>4</v>
      </c>
      <c r="L20" s="42" t="s">
        <v>10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10</v>
      </c>
      <c r="V20" s="42" t="s">
        <v>4</v>
      </c>
      <c r="W20" s="65" t="s">
        <v>4</v>
      </c>
      <c r="X20" s="65" t="s">
        <v>4</v>
      </c>
      <c r="Y20" s="65" t="s">
        <v>4</v>
      </c>
      <c r="Z20" s="70" t="s">
        <v>10</v>
      </c>
      <c r="AA20" s="42"/>
    </row>
    <row r="21" ht="15.0" customHeight="1">
      <c r="A21" s="41" t="s">
        <v>138</v>
      </c>
      <c r="B21" s="41" t="s">
        <v>139</v>
      </c>
      <c r="C21" s="58" t="s">
        <v>140</v>
      </c>
      <c r="D21" s="42" t="s">
        <v>78</v>
      </c>
      <c r="E21" s="42" t="s">
        <v>20</v>
      </c>
      <c r="F21" s="42" t="s">
        <v>20</v>
      </c>
      <c r="G21" s="42" t="s">
        <v>20</v>
      </c>
      <c r="H21" s="42" t="s">
        <v>20</v>
      </c>
      <c r="I21" s="42" t="s">
        <v>20</v>
      </c>
      <c r="J21" s="42" t="s">
        <v>20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65" t="s">
        <v>4</v>
      </c>
      <c r="X21" s="65" t="s">
        <v>4</v>
      </c>
      <c r="Y21" s="65" t="s">
        <v>4</v>
      </c>
      <c r="Z21" s="70" t="s">
        <v>10</v>
      </c>
      <c r="AA21" s="42"/>
    </row>
    <row r="22" ht="15.0" customHeight="1">
      <c r="A22" s="41" t="s">
        <v>141</v>
      </c>
      <c r="B22" s="41" t="s">
        <v>142</v>
      </c>
      <c r="C22" s="58" t="s">
        <v>143</v>
      </c>
      <c r="D22" s="42" t="s">
        <v>78</v>
      </c>
      <c r="E22" s="42" t="s">
        <v>20</v>
      </c>
      <c r="F22" s="42" t="s">
        <v>20</v>
      </c>
      <c r="G22" s="42" t="s">
        <v>20</v>
      </c>
      <c r="H22" s="42" t="s">
        <v>20</v>
      </c>
      <c r="I22" s="42" t="s">
        <v>20</v>
      </c>
      <c r="J22" s="42" t="s">
        <v>20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65" t="s">
        <v>4</v>
      </c>
      <c r="X22" s="65" t="s">
        <v>4</v>
      </c>
      <c r="Y22" s="65" t="s">
        <v>4</v>
      </c>
      <c r="Z22" s="65" t="s">
        <v>4</v>
      </c>
      <c r="AA22" s="42"/>
    </row>
    <row r="23" ht="15.0" customHeight="1">
      <c r="A23" s="41" t="s">
        <v>144</v>
      </c>
      <c r="B23" s="41" t="s">
        <v>145</v>
      </c>
      <c r="C23" s="58" t="s">
        <v>146</v>
      </c>
      <c r="D23" s="42" t="s">
        <v>78</v>
      </c>
      <c r="E23" s="42" t="s">
        <v>20</v>
      </c>
      <c r="F23" s="42" t="s">
        <v>20</v>
      </c>
      <c r="G23" s="42" t="s">
        <v>20</v>
      </c>
      <c r="H23" s="42" t="s">
        <v>20</v>
      </c>
      <c r="I23" s="42" t="s">
        <v>20</v>
      </c>
      <c r="J23" s="42" t="s">
        <v>20</v>
      </c>
      <c r="K23" s="42" t="s">
        <v>6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65" t="s">
        <v>4</v>
      </c>
      <c r="X23" s="65" t="s">
        <v>4</v>
      </c>
      <c r="Y23" s="65" t="s">
        <v>4</v>
      </c>
      <c r="Z23" s="65" t="s">
        <v>4</v>
      </c>
      <c r="AA23" s="42"/>
    </row>
    <row r="24" ht="15.0" customHeight="1">
      <c r="A24" s="41" t="s">
        <v>147</v>
      </c>
      <c r="B24" s="41" t="s">
        <v>148</v>
      </c>
      <c r="C24" s="58" t="s">
        <v>149</v>
      </c>
      <c r="D24" s="42" t="s">
        <v>78</v>
      </c>
      <c r="E24" s="42" t="s">
        <v>20</v>
      </c>
      <c r="F24" s="42" t="s">
        <v>20</v>
      </c>
      <c r="G24" s="42" t="s">
        <v>20</v>
      </c>
      <c r="H24" s="42" t="s">
        <v>20</v>
      </c>
      <c r="I24" s="42" t="s">
        <v>20</v>
      </c>
      <c r="J24" s="42" t="s">
        <v>20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65" t="s">
        <v>4</v>
      </c>
      <c r="X24" s="65" t="s">
        <v>4</v>
      </c>
      <c r="Y24" s="65" t="s">
        <v>4</v>
      </c>
      <c r="Z24" s="65" t="s">
        <v>4</v>
      </c>
      <c r="AA24" s="42"/>
    </row>
    <row r="25" ht="15.0" customHeight="1">
      <c r="A25" s="41" t="s">
        <v>150</v>
      </c>
      <c r="B25" s="41" t="s">
        <v>151</v>
      </c>
      <c r="C25" s="59" t="s">
        <v>152</v>
      </c>
      <c r="D25" s="42" t="s">
        <v>78</v>
      </c>
      <c r="E25" s="42" t="s">
        <v>20</v>
      </c>
      <c r="F25" s="42" t="s">
        <v>20</v>
      </c>
      <c r="G25" s="42" t="s">
        <v>20</v>
      </c>
      <c r="H25" s="42" t="s">
        <v>20</v>
      </c>
      <c r="I25" s="42" t="s">
        <v>20</v>
      </c>
      <c r="J25" s="42" t="s">
        <v>20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65" t="s">
        <v>4</v>
      </c>
      <c r="X25" s="65" t="s">
        <v>4</v>
      </c>
      <c r="Y25" s="65" t="s">
        <v>4</v>
      </c>
      <c r="Z25" s="65" t="s">
        <v>4</v>
      </c>
      <c r="AA25" s="42"/>
    </row>
    <row r="26" ht="15.0" customHeight="1">
      <c r="A26" s="66" t="s">
        <v>153</v>
      </c>
      <c r="B26" s="66" t="s">
        <v>111</v>
      </c>
      <c r="C26" s="72" t="s">
        <v>154</v>
      </c>
      <c r="D26" s="68" t="s">
        <v>68</v>
      </c>
      <c r="E26" s="68" t="s">
        <v>20</v>
      </c>
      <c r="F26" s="68" t="s">
        <v>20</v>
      </c>
      <c r="G26" s="68" t="s">
        <v>20</v>
      </c>
      <c r="H26" s="68" t="s">
        <v>20</v>
      </c>
      <c r="I26" s="68" t="s">
        <v>20</v>
      </c>
      <c r="J26" s="68" t="s">
        <v>20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10</v>
      </c>
      <c r="V26" s="68" t="s">
        <v>4</v>
      </c>
      <c r="W26" s="69" t="s">
        <v>4</v>
      </c>
      <c r="X26" s="69" t="s">
        <v>4</v>
      </c>
      <c r="Y26" s="69" t="s">
        <v>4</v>
      </c>
      <c r="Z26" s="69" t="s">
        <v>4</v>
      </c>
      <c r="AA26" s="42"/>
    </row>
    <row r="27" ht="15.0" customHeight="1">
      <c r="A27" s="41" t="s">
        <v>155</v>
      </c>
      <c r="B27" s="41" t="s">
        <v>156</v>
      </c>
      <c r="C27" s="61" t="s">
        <v>157</v>
      </c>
      <c r="D27" s="42" t="s">
        <v>78</v>
      </c>
      <c r="E27" s="42" t="s">
        <v>20</v>
      </c>
      <c r="F27" s="42" t="s">
        <v>20</v>
      </c>
      <c r="G27" s="42" t="s">
        <v>20</v>
      </c>
      <c r="H27" s="42" t="s">
        <v>20</v>
      </c>
      <c r="I27" s="42" t="s">
        <v>20</v>
      </c>
      <c r="J27" s="42" t="s">
        <v>20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70" t="s">
        <v>4</v>
      </c>
      <c r="X27" s="70" t="s">
        <v>4</v>
      </c>
      <c r="Y27" s="70" t="s">
        <v>4</v>
      </c>
      <c r="Z27" s="70" t="s">
        <v>4</v>
      </c>
      <c r="AA27" s="42"/>
    </row>
    <row r="28" ht="15.0" customHeight="1">
      <c r="A28" s="66" t="s">
        <v>158</v>
      </c>
      <c r="B28" s="66" t="s">
        <v>159</v>
      </c>
      <c r="C28" s="72" t="s">
        <v>160</v>
      </c>
      <c r="D28" s="68" t="s">
        <v>68</v>
      </c>
      <c r="E28" s="68" t="s">
        <v>20</v>
      </c>
      <c r="F28" s="68" t="s">
        <v>20</v>
      </c>
      <c r="G28" s="68" t="s">
        <v>20</v>
      </c>
      <c r="H28" s="68" t="s">
        <v>20</v>
      </c>
      <c r="I28" s="68" t="s">
        <v>20</v>
      </c>
      <c r="J28" s="68" t="s">
        <v>20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6</v>
      </c>
      <c r="T28" s="68" t="s">
        <v>4</v>
      </c>
      <c r="U28" s="68" t="s">
        <v>4</v>
      </c>
      <c r="V28" s="68" t="s">
        <v>4</v>
      </c>
      <c r="W28" s="69" t="s">
        <v>4</v>
      </c>
      <c r="X28" s="69" t="s">
        <v>4</v>
      </c>
      <c r="Y28" s="69" t="s">
        <v>4</v>
      </c>
      <c r="Z28" s="69" t="s">
        <v>4</v>
      </c>
      <c r="AA28" s="42"/>
    </row>
    <row r="29" ht="15.0" customHeight="1">
      <c r="A29" s="41" t="s">
        <v>161</v>
      </c>
      <c r="B29" s="41" t="s">
        <v>162</v>
      </c>
      <c r="C29" s="62" t="s">
        <v>163</v>
      </c>
      <c r="D29" s="42" t="s">
        <v>78</v>
      </c>
      <c r="E29" s="42" t="s">
        <v>20</v>
      </c>
      <c r="F29" s="42" t="s">
        <v>20</v>
      </c>
      <c r="G29" s="42" t="s">
        <v>20</v>
      </c>
      <c r="H29" s="42" t="s">
        <v>20</v>
      </c>
      <c r="I29" s="42" t="s">
        <v>20</v>
      </c>
      <c r="J29" s="42" t="s">
        <v>20</v>
      </c>
      <c r="K29" s="42" t="s">
        <v>6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4</v>
      </c>
      <c r="V29" s="42" t="s">
        <v>4</v>
      </c>
      <c r="W29" s="65" t="s">
        <v>4</v>
      </c>
      <c r="X29" s="65" t="s">
        <v>4</v>
      </c>
      <c r="Y29" s="65" t="s">
        <v>4</v>
      </c>
      <c r="Z29" s="65" t="s">
        <v>4</v>
      </c>
      <c r="AA29" s="42"/>
    </row>
    <row r="30" ht="15.0" customHeight="1">
      <c r="A30" s="41" t="s">
        <v>164</v>
      </c>
      <c r="B30" s="41" t="s">
        <v>165</v>
      </c>
      <c r="C30" s="62" t="s">
        <v>166</v>
      </c>
      <c r="D30" s="42" t="s">
        <v>78</v>
      </c>
      <c r="E30" s="42" t="s">
        <v>20</v>
      </c>
      <c r="F30" s="42" t="s">
        <v>20</v>
      </c>
      <c r="G30" s="42" t="s">
        <v>20</v>
      </c>
      <c r="H30" s="42" t="s">
        <v>20</v>
      </c>
      <c r="I30" s="42" t="s">
        <v>20</v>
      </c>
      <c r="J30" s="42" t="s">
        <v>20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70" t="s">
        <v>4</v>
      </c>
      <c r="X30" s="70" t="s">
        <v>4</v>
      </c>
      <c r="Y30" s="70" t="s">
        <v>4</v>
      </c>
      <c r="Z30" s="70" t="s">
        <v>4</v>
      </c>
      <c r="AA30" s="42"/>
    </row>
    <row r="31" ht="15.0" customHeight="1">
      <c r="A31" s="41" t="s">
        <v>167</v>
      </c>
      <c r="B31" s="41" t="s">
        <v>168</v>
      </c>
      <c r="C31" s="63" t="s">
        <v>169</v>
      </c>
      <c r="D31" s="42" t="s">
        <v>78</v>
      </c>
      <c r="E31" s="42" t="s">
        <v>20</v>
      </c>
      <c r="F31" s="42" t="s">
        <v>20</v>
      </c>
      <c r="G31" s="42" t="s">
        <v>20</v>
      </c>
      <c r="H31" s="42" t="s">
        <v>20</v>
      </c>
      <c r="I31" s="42" t="s">
        <v>20</v>
      </c>
      <c r="J31" s="42" t="s">
        <v>20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65" t="s">
        <v>4</v>
      </c>
      <c r="X31" s="65" t="s">
        <v>4</v>
      </c>
      <c r="Y31" s="65" t="s">
        <v>4</v>
      </c>
      <c r="Z31" s="65" t="s">
        <v>4</v>
      </c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21</v>
      </c>
      <c r="L32" s="49">
        <f t="shared" si="2"/>
        <v>22</v>
      </c>
      <c r="M32" s="49">
        <f t="shared" si="2"/>
        <v>23</v>
      </c>
      <c r="N32" s="49">
        <f t="shared" si="2"/>
        <v>23</v>
      </c>
      <c r="O32" s="49">
        <f t="shared" si="2"/>
        <v>24</v>
      </c>
      <c r="P32" s="49">
        <f t="shared" si="2"/>
        <v>24</v>
      </c>
      <c r="Q32" s="49">
        <f t="shared" si="2"/>
        <v>24</v>
      </c>
      <c r="R32" s="49">
        <f t="shared" si="2"/>
        <v>24</v>
      </c>
      <c r="S32" s="49">
        <f t="shared" si="2"/>
        <v>23</v>
      </c>
      <c r="T32" s="49">
        <f t="shared" si="2"/>
        <v>23</v>
      </c>
      <c r="U32" s="49">
        <f t="shared" si="2"/>
        <v>22</v>
      </c>
      <c r="V32" s="49">
        <f t="shared" si="2"/>
        <v>24</v>
      </c>
      <c r="W32" s="49">
        <f t="shared" si="2"/>
        <v>24</v>
      </c>
      <c r="X32" s="49">
        <f t="shared" si="2"/>
        <v>24</v>
      </c>
      <c r="Y32" s="49">
        <f t="shared" si="2"/>
        <v>24</v>
      </c>
      <c r="Z32" s="49">
        <f t="shared" si="2"/>
        <v>22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3</v>
      </c>
      <c r="L33" s="54">
        <f t="shared" si="3"/>
        <v>2</v>
      </c>
      <c r="M33" s="54">
        <f t="shared" si="3"/>
        <v>1</v>
      </c>
      <c r="N33" s="54">
        <f t="shared" si="3"/>
        <v>1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1</v>
      </c>
      <c r="T33" s="54">
        <f t="shared" si="3"/>
        <v>1</v>
      </c>
      <c r="U33" s="54">
        <f t="shared" si="3"/>
        <v>2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2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24</v>
      </c>
      <c r="L34" s="55">
        <f t="shared" si="4"/>
        <v>24</v>
      </c>
      <c r="M34" s="55">
        <f t="shared" si="4"/>
        <v>24</v>
      </c>
      <c r="N34" s="55">
        <f t="shared" si="4"/>
        <v>24</v>
      </c>
      <c r="O34" s="55">
        <f t="shared" si="4"/>
        <v>24</v>
      </c>
      <c r="P34" s="55">
        <f t="shared" si="4"/>
        <v>24</v>
      </c>
      <c r="Q34" s="55">
        <f t="shared" si="4"/>
        <v>24</v>
      </c>
      <c r="R34" s="55">
        <f t="shared" si="4"/>
        <v>24</v>
      </c>
      <c r="S34" s="55">
        <f t="shared" si="4"/>
        <v>24</v>
      </c>
      <c r="T34" s="55">
        <f t="shared" si="4"/>
        <v>24</v>
      </c>
      <c r="U34" s="55">
        <f t="shared" si="4"/>
        <v>24</v>
      </c>
      <c r="V34" s="55">
        <f t="shared" si="4"/>
        <v>24</v>
      </c>
      <c r="W34" s="55">
        <f t="shared" si="4"/>
        <v>24</v>
      </c>
      <c r="X34" s="55">
        <f t="shared" si="4"/>
        <v>24</v>
      </c>
      <c r="Y34" s="55">
        <f t="shared" si="4"/>
        <v>24</v>
      </c>
      <c r="Z34" s="55">
        <f t="shared" si="4"/>
        <v>24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20.0</v>
      </c>
      <c r="K2" s="29" t="s">
        <v>37</v>
      </c>
      <c r="N2" s="33">
        <f t="shared" ref="N2:N3" si="1">SUM(E32:AA32)</f>
        <v>512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4.0</v>
      </c>
      <c r="K3" s="29" t="s">
        <v>43</v>
      </c>
      <c r="N3" s="33">
        <f t="shared" si="1"/>
        <v>16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528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>
        <f>SUM(N2/N4)</f>
        <v>0.9696969697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46113.0</v>
      </c>
      <c r="F7" s="40">
        <v>46114.0</v>
      </c>
      <c r="G7" s="40">
        <v>46115.0</v>
      </c>
      <c r="H7" s="40">
        <v>46118.0</v>
      </c>
      <c r="I7" s="40">
        <v>46119.0</v>
      </c>
      <c r="J7" s="40">
        <v>46120.0</v>
      </c>
      <c r="K7" s="40">
        <v>46121.0</v>
      </c>
      <c r="L7" s="40">
        <v>46122.0</v>
      </c>
      <c r="M7" s="40">
        <v>46125.0</v>
      </c>
      <c r="N7" s="40">
        <v>46126.0</v>
      </c>
      <c r="O7" s="40">
        <v>46127.0</v>
      </c>
      <c r="P7" s="40">
        <v>46128.0</v>
      </c>
      <c r="Q7" s="40">
        <v>46129.0</v>
      </c>
      <c r="R7" s="40">
        <v>46132.0</v>
      </c>
      <c r="S7" s="40">
        <v>46133.0</v>
      </c>
      <c r="T7" s="40">
        <v>46134.0</v>
      </c>
      <c r="U7" s="40">
        <v>46135.0</v>
      </c>
      <c r="V7" s="40">
        <v>46136.0</v>
      </c>
      <c r="W7" s="40">
        <v>46139.0</v>
      </c>
      <c r="X7" s="40">
        <v>46140.0</v>
      </c>
      <c r="Y7" s="40">
        <v>46141.0</v>
      </c>
      <c r="Z7" s="40">
        <v>46142.0</v>
      </c>
      <c r="AA7" s="40"/>
    </row>
    <row r="8" ht="15.0" customHeight="1">
      <c r="A8" s="41" t="s">
        <v>104</v>
      </c>
      <c r="B8" s="41" t="s">
        <v>105</v>
      </c>
      <c r="C8" s="57" t="s">
        <v>106</v>
      </c>
      <c r="D8" s="42" t="s">
        <v>78</v>
      </c>
      <c r="E8" s="65" t="s">
        <v>4</v>
      </c>
      <c r="F8" s="65" t="s">
        <v>4</v>
      </c>
      <c r="G8" s="65" t="s">
        <v>4</v>
      </c>
      <c r="H8" s="42" t="s">
        <v>4</v>
      </c>
      <c r="I8" s="42" t="s">
        <v>4</v>
      </c>
      <c r="J8" s="42" t="s">
        <v>4</v>
      </c>
      <c r="K8" s="65" t="s">
        <v>4</v>
      </c>
      <c r="L8" s="65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4</v>
      </c>
      <c r="W8" s="42" t="s">
        <v>4</v>
      </c>
      <c r="X8" s="42" t="s">
        <v>4</v>
      </c>
      <c r="Y8" s="42" t="s">
        <v>4</v>
      </c>
      <c r="Z8" s="42" t="s">
        <v>4</v>
      </c>
      <c r="AA8" s="42"/>
    </row>
    <row r="9" ht="15.0" customHeight="1">
      <c r="A9" s="66" t="s">
        <v>107</v>
      </c>
      <c r="B9" s="66" t="s">
        <v>108</v>
      </c>
      <c r="C9" s="67" t="s">
        <v>109</v>
      </c>
      <c r="D9" s="42" t="s">
        <v>68</v>
      </c>
      <c r="E9" s="69" t="s">
        <v>4</v>
      </c>
      <c r="F9" s="69" t="s">
        <v>4</v>
      </c>
      <c r="G9" s="71" t="s">
        <v>10</v>
      </c>
      <c r="H9" s="69" t="s">
        <v>4</v>
      </c>
      <c r="I9" s="68" t="s">
        <v>4</v>
      </c>
      <c r="J9" s="68" t="s">
        <v>4</v>
      </c>
      <c r="K9" s="69" t="s">
        <v>4</v>
      </c>
      <c r="L9" s="69" t="s">
        <v>4</v>
      </c>
      <c r="M9" s="68" t="s">
        <v>4</v>
      </c>
      <c r="N9" s="68" t="s">
        <v>4</v>
      </c>
      <c r="O9" s="68" t="s">
        <v>4</v>
      </c>
      <c r="P9" s="68" t="s">
        <v>10</v>
      </c>
      <c r="Q9" s="68" t="s">
        <v>10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  <c r="Y9" s="68" t="s">
        <v>4</v>
      </c>
      <c r="Z9" s="68" t="s">
        <v>4</v>
      </c>
      <c r="AA9" s="42"/>
    </row>
    <row r="10" ht="15.0" customHeight="1">
      <c r="A10" s="41" t="s">
        <v>110</v>
      </c>
      <c r="B10" s="41" t="s">
        <v>111</v>
      </c>
      <c r="C10" s="58" t="s">
        <v>112</v>
      </c>
      <c r="D10" s="42" t="s">
        <v>78</v>
      </c>
      <c r="E10" s="65" t="s">
        <v>4</v>
      </c>
      <c r="F10" s="65" t="s">
        <v>4</v>
      </c>
      <c r="G10" s="65" t="s">
        <v>4</v>
      </c>
      <c r="H10" s="42" t="s">
        <v>4</v>
      </c>
      <c r="I10" s="42" t="s">
        <v>4</v>
      </c>
      <c r="J10" s="42" t="s">
        <v>4</v>
      </c>
      <c r="K10" s="65" t="s">
        <v>4</v>
      </c>
      <c r="L10" s="65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10</v>
      </c>
      <c r="U10" s="42" t="s">
        <v>4</v>
      </c>
      <c r="V10" s="42" t="s">
        <v>4</v>
      </c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41" t="s">
        <v>113</v>
      </c>
      <c r="B11" s="41" t="s">
        <v>114</v>
      </c>
      <c r="C11" s="58">
        <v>343819.0</v>
      </c>
      <c r="D11" s="42" t="s">
        <v>78</v>
      </c>
      <c r="E11" s="65" t="s">
        <v>4</v>
      </c>
      <c r="F11" s="65" t="s">
        <v>4</v>
      </c>
      <c r="G11" s="65" t="s">
        <v>4</v>
      </c>
      <c r="H11" s="42" t="s">
        <v>4</v>
      </c>
      <c r="I11" s="42" t="s">
        <v>4</v>
      </c>
      <c r="J11" s="42" t="s">
        <v>4</v>
      </c>
      <c r="K11" s="70" t="s">
        <v>4</v>
      </c>
      <c r="L11" s="70" t="s">
        <v>10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41" t="s">
        <v>115</v>
      </c>
      <c r="B12" s="41" t="s">
        <v>105</v>
      </c>
      <c r="C12" s="58" t="s">
        <v>116</v>
      </c>
      <c r="D12" s="42" t="s">
        <v>78</v>
      </c>
      <c r="E12" s="65" t="s">
        <v>4</v>
      </c>
      <c r="F12" s="65" t="s">
        <v>4</v>
      </c>
      <c r="G12" s="65" t="s">
        <v>4</v>
      </c>
      <c r="H12" s="42" t="s">
        <v>4</v>
      </c>
      <c r="I12" s="42" t="s">
        <v>4</v>
      </c>
      <c r="J12" s="42" t="s">
        <v>4</v>
      </c>
      <c r="K12" s="65" t="s">
        <v>4</v>
      </c>
      <c r="L12" s="65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4</v>
      </c>
      <c r="X12" s="42" t="s">
        <v>4</v>
      </c>
      <c r="Y12" s="42" t="s">
        <v>4</v>
      </c>
      <c r="Z12" s="42" t="s">
        <v>4</v>
      </c>
      <c r="AA12" s="42"/>
    </row>
    <row r="13" ht="15.0" customHeight="1">
      <c r="A13" s="41" t="s">
        <v>117</v>
      </c>
      <c r="B13" s="41" t="s">
        <v>118</v>
      </c>
      <c r="C13" s="58" t="s">
        <v>119</v>
      </c>
      <c r="D13" s="42" t="s">
        <v>78</v>
      </c>
      <c r="E13" s="70" t="s">
        <v>4</v>
      </c>
      <c r="F13" s="70" t="s">
        <v>4</v>
      </c>
      <c r="G13" s="70" t="s">
        <v>4</v>
      </c>
      <c r="H13" s="42" t="s">
        <v>4</v>
      </c>
      <c r="I13" s="42" t="s">
        <v>4</v>
      </c>
      <c r="J13" s="42" t="s">
        <v>4</v>
      </c>
      <c r="K13" s="70" t="s">
        <v>4</v>
      </c>
      <c r="L13" s="70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42" t="s">
        <v>4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41" t="s">
        <v>120</v>
      </c>
      <c r="B14" s="41" t="s">
        <v>121</v>
      </c>
      <c r="C14" s="58" t="s">
        <v>122</v>
      </c>
      <c r="D14" s="42" t="s">
        <v>78</v>
      </c>
      <c r="E14" s="65" t="s">
        <v>4</v>
      </c>
      <c r="F14" s="65" t="s">
        <v>4</v>
      </c>
      <c r="G14" s="65" t="s">
        <v>4</v>
      </c>
      <c r="H14" s="42" t="s">
        <v>4</v>
      </c>
      <c r="I14" s="42" t="s">
        <v>4</v>
      </c>
      <c r="J14" s="42" t="s">
        <v>4</v>
      </c>
      <c r="K14" s="65" t="s">
        <v>4</v>
      </c>
      <c r="L14" s="65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41" t="s">
        <v>123</v>
      </c>
      <c r="B15" s="41" t="s">
        <v>124</v>
      </c>
      <c r="C15" s="58" t="s">
        <v>125</v>
      </c>
      <c r="D15" s="42" t="s">
        <v>78</v>
      </c>
      <c r="E15" s="65" t="s">
        <v>4</v>
      </c>
      <c r="F15" s="65" t="s">
        <v>4</v>
      </c>
      <c r="G15" s="65" t="s">
        <v>4</v>
      </c>
      <c r="H15" s="42" t="s">
        <v>4</v>
      </c>
      <c r="I15" s="42" t="s">
        <v>4</v>
      </c>
      <c r="J15" s="42" t="s">
        <v>4</v>
      </c>
      <c r="K15" s="65" t="s">
        <v>4</v>
      </c>
      <c r="L15" s="70" t="s">
        <v>10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10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4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41" t="s">
        <v>126</v>
      </c>
      <c r="B16" s="41" t="s">
        <v>127</v>
      </c>
      <c r="C16" s="58">
        <v>154362.0</v>
      </c>
      <c r="D16" s="42" t="s">
        <v>78</v>
      </c>
      <c r="E16" s="65" t="s">
        <v>4</v>
      </c>
      <c r="F16" s="65" t="s">
        <v>4</v>
      </c>
      <c r="G16" s="65" t="s">
        <v>4</v>
      </c>
      <c r="H16" s="42" t="s">
        <v>4</v>
      </c>
      <c r="I16" s="42" t="s">
        <v>4</v>
      </c>
      <c r="J16" s="42" t="s">
        <v>4</v>
      </c>
      <c r="K16" s="65" t="s">
        <v>4</v>
      </c>
      <c r="L16" s="65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41" t="s">
        <v>128</v>
      </c>
      <c r="B17" s="41" t="s">
        <v>129</v>
      </c>
      <c r="C17" s="58" t="s">
        <v>130</v>
      </c>
      <c r="D17" s="42" t="s">
        <v>78</v>
      </c>
      <c r="E17" s="65" t="s">
        <v>4</v>
      </c>
      <c r="F17" s="65" t="s">
        <v>4</v>
      </c>
      <c r="G17" s="65" t="s">
        <v>4</v>
      </c>
      <c r="H17" s="42" t="s">
        <v>4</v>
      </c>
      <c r="I17" s="42" t="s">
        <v>4</v>
      </c>
      <c r="J17" s="42" t="s">
        <v>4</v>
      </c>
      <c r="K17" s="65" t="s">
        <v>4</v>
      </c>
      <c r="L17" s="65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42" t="s">
        <v>4</v>
      </c>
      <c r="X17" s="42" t="s">
        <v>4</v>
      </c>
      <c r="Y17" s="42" t="s">
        <v>4</v>
      </c>
      <c r="Z17" s="42" t="s">
        <v>4</v>
      </c>
      <c r="AA17" s="42"/>
    </row>
    <row r="18" ht="15.0" customHeight="1">
      <c r="A18" s="66" t="s">
        <v>131</v>
      </c>
      <c r="B18" s="66" t="s">
        <v>132</v>
      </c>
      <c r="C18" s="67" t="s">
        <v>133</v>
      </c>
      <c r="D18" s="42" t="s">
        <v>68</v>
      </c>
      <c r="E18" s="71" t="s">
        <v>4</v>
      </c>
      <c r="F18" s="71" t="s">
        <v>4</v>
      </c>
      <c r="G18" s="71" t="s">
        <v>4</v>
      </c>
      <c r="H18" s="68" t="s">
        <v>4</v>
      </c>
      <c r="I18" s="68" t="s">
        <v>4</v>
      </c>
      <c r="J18" s="68" t="s">
        <v>4</v>
      </c>
      <c r="K18" s="71" t="s">
        <v>4</v>
      </c>
      <c r="L18" s="71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  <c r="Y18" s="68" t="s">
        <v>4</v>
      </c>
      <c r="Z18" s="68" t="s">
        <v>4</v>
      </c>
      <c r="AA18" s="68"/>
    </row>
    <row r="19" ht="15.0" customHeight="1">
      <c r="A19" s="41" t="s">
        <v>134</v>
      </c>
      <c r="B19" s="41" t="s">
        <v>135</v>
      </c>
      <c r="C19" s="58">
        <v>524536.0</v>
      </c>
      <c r="D19" s="42" t="s">
        <v>78</v>
      </c>
      <c r="E19" s="65" t="s">
        <v>4</v>
      </c>
      <c r="F19" s="65" t="s">
        <v>4</v>
      </c>
      <c r="G19" s="65" t="s">
        <v>4</v>
      </c>
      <c r="H19" s="42" t="s">
        <v>4</v>
      </c>
      <c r="I19" s="42" t="s">
        <v>4</v>
      </c>
      <c r="J19" s="42" t="s">
        <v>4</v>
      </c>
      <c r="K19" s="65" t="s">
        <v>4</v>
      </c>
      <c r="L19" s="65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4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41" t="s">
        <v>136</v>
      </c>
      <c r="B20" s="41" t="s">
        <v>121</v>
      </c>
      <c r="C20" s="58" t="s">
        <v>137</v>
      </c>
      <c r="D20" s="42" t="s">
        <v>78</v>
      </c>
      <c r="E20" s="65" t="s">
        <v>4</v>
      </c>
      <c r="F20" s="65" t="s">
        <v>4</v>
      </c>
      <c r="G20" s="65" t="s">
        <v>4</v>
      </c>
      <c r="H20" s="42" t="s">
        <v>4</v>
      </c>
      <c r="I20" s="42" t="s">
        <v>4</v>
      </c>
      <c r="J20" s="42" t="s">
        <v>10</v>
      </c>
      <c r="K20" s="65" t="s">
        <v>4</v>
      </c>
      <c r="L20" s="65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4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41" t="s">
        <v>138</v>
      </c>
      <c r="B21" s="41" t="s">
        <v>139</v>
      </c>
      <c r="C21" s="58" t="s">
        <v>140</v>
      </c>
      <c r="D21" s="42" t="s">
        <v>78</v>
      </c>
      <c r="E21" s="65" t="s">
        <v>4</v>
      </c>
      <c r="F21" s="65" t="s">
        <v>4</v>
      </c>
      <c r="G21" s="65" t="s">
        <v>4</v>
      </c>
      <c r="H21" s="42" t="s">
        <v>4</v>
      </c>
      <c r="I21" s="42" t="s">
        <v>4</v>
      </c>
      <c r="J21" s="42" t="s">
        <v>4</v>
      </c>
      <c r="K21" s="65" t="s">
        <v>4</v>
      </c>
      <c r="L21" s="65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41" t="s">
        <v>141</v>
      </c>
      <c r="B22" s="41" t="s">
        <v>142</v>
      </c>
      <c r="C22" s="58" t="s">
        <v>143</v>
      </c>
      <c r="D22" s="42" t="s">
        <v>78</v>
      </c>
      <c r="E22" s="65" t="s">
        <v>4</v>
      </c>
      <c r="F22" s="65" t="s">
        <v>4</v>
      </c>
      <c r="G22" s="65" t="s">
        <v>4</v>
      </c>
      <c r="H22" s="42" t="s">
        <v>4</v>
      </c>
      <c r="I22" s="42" t="s">
        <v>4</v>
      </c>
      <c r="J22" s="42" t="s">
        <v>4</v>
      </c>
      <c r="K22" s="70" t="s">
        <v>10</v>
      </c>
      <c r="L22" s="65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10</v>
      </c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41" t="s">
        <v>144</v>
      </c>
      <c r="B23" s="41" t="s">
        <v>145</v>
      </c>
      <c r="C23" s="58" t="s">
        <v>146</v>
      </c>
      <c r="D23" s="42" t="s">
        <v>78</v>
      </c>
      <c r="E23" s="65" t="s">
        <v>4</v>
      </c>
      <c r="F23" s="65" t="s">
        <v>4</v>
      </c>
      <c r="G23" s="65" t="s">
        <v>4</v>
      </c>
      <c r="H23" s="42" t="s">
        <v>4</v>
      </c>
      <c r="I23" s="42" t="s">
        <v>10</v>
      </c>
      <c r="J23" s="42" t="s">
        <v>4</v>
      </c>
      <c r="K23" s="65" t="s">
        <v>4</v>
      </c>
      <c r="L23" s="70" t="s">
        <v>10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41" t="s">
        <v>147</v>
      </c>
      <c r="B24" s="41" t="s">
        <v>148</v>
      </c>
      <c r="C24" s="58" t="s">
        <v>149</v>
      </c>
      <c r="D24" s="42" t="s">
        <v>78</v>
      </c>
      <c r="E24" s="65" t="s">
        <v>4</v>
      </c>
      <c r="F24" s="65" t="s">
        <v>4</v>
      </c>
      <c r="G24" s="65" t="s">
        <v>4</v>
      </c>
      <c r="H24" s="42" t="s">
        <v>4</v>
      </c>
      <c r="I24" s="42" t="s">
        <v>4</v>
      </c>
      <c r="J24" s="42" t="s">
        <v>4</v>
      </c>
      <c r="K24" s="65" t="s">
        <v>4</v>
      </c>
      <c r="L24" s="65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42" t="s">
        <v>4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41" t="s">
        <v>150</v>
      </c>
      <c r="B25" s="41" t="s">
        <v>151</v>
      </c>
      <c r="C25" s="59" t="s">
        <v>152</v>
      </c>
      <c r="D25" s="42" t="s">
        <v>78</v>
      </c>
      <c r="E25" s="65" t="s">
        <v>4</v>
      </c>
      <c r="F25" s="65" t="s">
        <v>4</v>
      </c>
      <c r="G25" s="65" t="s">
        <v>4</v>
      </c>
      <c r="H25" s="42" t="s">
        <v>4</v>
      </c>
      <c r="I25" s="42" t="s">
        <v>4</v>
      </c>
      <c r="J25" s="42" t="s">
        <v>4</v>
      </c>
      <c r="K25" s="65" t="s">
        <v>4</v>
      </c>
      <c r="L25" s="65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4</v>
      </c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66" t="s">
        <v>153</v>
      </c>
      <c r="B26" s="66" t="s">
        <v>111</v>
      </c>
      <c r="C26" s="72" t="s">
        <v>154</v>
      </c>
      <c r="D26" s="42" t="s">
        <v>68</v>
      </c>
      <c r="E26" s="69" t="s">
        <v>4</v>
      </c>
      <c r="F26" s="69" t="s">
        <v>4</v>
      </c>
      <c r="G26" s="71" t="s">
        <v>10</v>
      </c>
      <c r="H26" s="68" t="s">
        <v>4</v>
      </c>
      <c r="I26" s="68" t="s">
        <v>4</v>
      </c>
      <c r="J26" s="68" t="s">
        <v>4</v>
      </c>
      <c r="K26" s="69" t="s">
        <v>4</v>
      </c>
      <c r="L26" s="71" t="s">
        <v>10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  <c r="Y26" s="68" t="s">
        <v>4</v>
      </c>
      <c r="Z26" s="68" t="s">
        <v>4</v>
      </c>
      <c r="AA26" s="68"/>
    </row>
    <row r="27" ht="15.0" customHeight="1">
      <c r="A27" s="41" t="s">
        <v>155</v>
      </c>
      <c r="B27" s="41" t="s">
        <v>156</v>
      </c>
      <c r="C27" s="61" t="s">
        <v>157</v>
      </c>
      <c r="D27" s="42" t="s">
        <v>78</v>
      </c>
      <c r="E27" s="70" t="s">
        <v>4</v>
      </c>
      <c r="F27" s="70" t="s">
        <v>4</v>
      </c>
      <c r="G27" s="70" t="s">
        <v>4</v>
      </c>
      <c r="H27" s="42" t="s">
        <v>4</v>
      </c>
      <c r="I27" s="42" t="s">
        <v>4</v>
      </c>
      <c r="J27" s="42" t="s">
        <v>4</v>
      </c>
      <c r="K27" s="70" t="s">
        <v>4</v>
      </c>
      <c r="L27" s="70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42" t="s">
        <v>4</v>
      </c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66" t="s">
        <v>158</v>
      </c>
      <c r="B28" s="66" t="s">
        <v>159</v>
      </c>
      <c r="C28" s="72" t="s">
        <v>160</v>
      </c>
      <c r="D28" s="42" t="s">
        <v>68</v>
      </c>
      <c r="E28" s="69" t="s">
        <v>4</v>
      </c>
      <c r="F28" s="69" t="s">
        <v>4</v>
      </c>
      <c r="G28" s="69" t="s">
        <v>4</v>
      </c>
      <c r="H28" s="68" t="s">
        <v>4</v>
      </c>
      <c r="I28" s="68" t="s">
        <v>4</v>
      </c>
      <c r="J28" s="68" t="s">
        <v>10</v>
      </c>
      <c r="K28" s="69" t="s">
        <v>4</v>
      </c>
      <c r="L28" s="69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  <c r="Y28" s="68" t="s">
        <v>4</v>
      </c>
      <c r="Z28" s="68" t="s">
        <v>4</v>
      </c>
      <c r="AA28" s="68"/>
    </row>
    <row r="29" ht="15.0" customHeight="1">
      <c r="A29" s="41" t="s">
        <v>161</v>
      </c>
      <c r="B29" s="41" t="s">
        <v>162</v>
      </c>
      <c r="C29" s="62" t="s">
        <v>163</v>
      </c>
      <c r="D29" s="42" t="s">
        <v>78</v>
      </c>
      <c r="E29" s="65" t="s">
        <v>4</v>
      </c>
      <c r="F29" s="65" t="s">
        <v>4</v>
      </c>
      <c r="G29" s="65" t="s">
        <v>4</v>
      </c>
      <c r="H29" s="42" t="s">
        <v>4</v>
      </c>
      <c r="I29" s="42" t="s">
        <v>4</v>
      </c>
      <c r="J29" s="42" t="s">
        <v>4</v>
      </c>
      <c r="K29" s="65" t="s">
        <v>4</v>
      </c>
      <c r="L29" s="65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6</v>
      </c>
      <c r="T29" s="42" t="s">
        <v>4</v>
      </c>
      <c r="U29" s="42" t="s">
        <v>4</v>
      </c>
      <c r="V29" s="42" t="s">
        <v>4</v>
      </c>
      <c r="W29" s="42" t="s">
        <v>4</v>
      </c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41" t="s">
        <v>164</v>
      </c>
      <c r="B30" s="41" t="s">
        <v>165</v>
      </c>
      <c r="C30" s="62" t="s">
        <v>166</v>
      </c>
      <c r="D30" s="42" t="s">
        <v>78</v>
      </c>
      <c r="E30" s="70" t="s">
        <v>4</v>
      </c>
      <c r="F30" s="70" t="s">
        <v>4</v>
      </c>
      <c r="G30" s="70" t="s">
        <v>4</v>
      </c>
      <c r="H30" s="42" t="s">
        <v>4</v>
      </c>
      <c r="I30" s="42" t="s">
        <v>4</v>
      </c>
      <c r="J30" s="42" t="s">
        <v>4</v>
      </c>
      <c r="K30" s="70" t="s">
        <v>4</v>
      </c>
      <c r="L30" s="70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42" t="s">
        <v>4</v>
      </c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41" t="s">
        <v>167</v>
      </c>
      <c r="B31" s="41" t="s">
        <v>168</v>
      </c>
      <c r="C31" s="63" t="s">
        <v>169</v>
      </c>
      <c r="D31" s="42" t="s">
        <v>78</v>
      </c>
      <c r="E31" s="65" t="s">
        <v>4</v>
      </c>
      <c r="F31" s="65" t="s">
        <v>4</v>
      </c>
      <c r="G31" s="65" t="s">
        <v>4</v>
      </c>
      <c r="H31" s="42" t="s">
        <v>4</v>
      </c>
      <c r="I31" s="42" t="s">
        <v>4</v>
      </c>
      <c r="J31" s="42" t="s">
        <v>4</v>
      </c>
      <c r="K31" s="65" t="s">
        <v>4</v>
      </c>
      <c r="L31" s="65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42" t="s">
        <v>4</v>
      </c>
      <c r="X31" s="42" t="s">
        <v>4</v>
      </c>
      <c r="Y31" s="42" t="s">
        <v>4</v>
      </c>
      <c r="Z31" s="42" t="s">
        <v>4</v>
      </c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24</v>
      </c>
      <c r="F32" s="49">
        <f t="shared" si="2"/>
        <v>24</v>
      </c>
      <c r="G32" s="49">
        <f t="shared" si="2"/>
        <v>22</v>
      </c>
      <c r="H32" s="49">
        <f t="shared" si="2"/>
        <v>24</v>
      </c>
      <c r="I32" s="49">
        <f t="shared" si="2"/>
        <v>23</v>
      </c>
      <c r="J32" s="49">
        <f t="shared" si="2"/>
        <v>22</v>
      </c>
      <c r="K32" s="49">
        <f t="shared" si="2"/>
        <v>23</v>
      </c>
      <c r="L32" s="49">
        <f t="shared" si="2"/>
        <v>20</v>
      </c>
      <c r="M32" s="49">
        <f t="shared" si="2"/>
        <v>24</v>
      </c>
      <c r="N32" s="49">
        <f t="shared" si="2"/>
        <v>24</v>
      </c>
      <c r="O32" s="49">
        <f t="shared" si="2"/>
        <v>24</v>
      </c>
      <c r="P32" s="49">
        <f t="shared" si="2"/>
        <v>23</v>
      </c>
      <c r="Q32" s="49">
        <f t="shared" si="2"/>
        <v>23</v>
      </c>
      <c r="R32" s="49">
        <f t="shared" si="2"/>
        <v>23</v>
      </c>
      <c r="S32" s="49">
        <f t="shared" si="2"/>
        <v>23</v>
      </c>
      <c r="T32" s="49">
        <f t="shared" si="2"/>
        <v>23</v>
      </c>
      <c r="U32" s="49">
        <f t="shared" si="2"/>
        <v>24</v>
      </c>
      <c r="V32" s="49">
        <f t="shared" si="2"/>
        <v>23</v>
      </c>
      <c r="W32" s="49">
        <f t="shared" si="2"/>
        <v>24</v>
      </c>
      <c r="X32" s="49">
        <f t="shared" si="2"/>
        <v>24</v>
      </c>
      <c r="Y32" s="49">
        <f t="shared" si="2"/>
        <v>24</v>
      </c>
      <c r="Z32" s="49">
        <f t="shared" si="2"/>
        <v>24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2</v>
      </c>
      <c r="H33" s="54">
        <f t="shared" si="3"/>
        <v>0</v>
      </c>
      <c r="I33" s="54">
        <f t="shared" si="3"/>
        <v>1</v>
      </c>
      <c r="J33" s="54">
        <f t="shared" si="3"/>
        <v>2</v>
      </c>
      <c r="K33" s="54">
        <f t="shared" si="3"/>
        <v>1</v>
      </c>
      <c r="L33" s="54">
        <f t="shared" si="3"/>
        <v>4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1</v>
      </c>
      <c r="Q33" s="54">
        <f t="shared" si="3"/>
        <v>1</v>
      </c>
      <c r="R33" s="54">
        <f t="shared" si="3"/>
        <v>1</v>
      </c>
      <c r="S33" s="54">
        <f t="shared" si="3"/>
        <v>1</v>
      </c>
      <c r="T33" s="54">
        <f t="shared" si="3"/>
        <v>1</v>
      </c>
      <c r="U33" s="54">
        <f t="shared" si="3"/>
        <v>0</v>
      </c>
      <c r="V33" s="54">
        <f t="shared" si="3"/>
        <v>1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0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24</v>
      </c>
      <c r="F34" s="55">
        <f t="shared" si="4"/>
        <v>24</v>
      </c>
      <c r="G34" s="55">
        <f t="shared" si="4"/>
        <v>24</v>
      </c>
      <c r="H34" s="55">
        <f t="shared" si="4"/>
        <v>24</v>
      </c>
      <c r="I34" s="55">
        <f t="shared" si="4"/>
        <v>24</v>
      </c>
      <c r="J34" s="55">
        <f t="shared" si="4"/>
        <v>24</v>
      </c>
      <c r="K34" s="55">
        <f t="shared" si="4"/>
        <v>24</v>
      </c>
      <c r="L34" s="55">
        <f t="shared" si="4"/>
        <v>24</v>
      </c>
      <c r="M34" s="55">
        <f t="shared" si="4"/>
        <v>24</v>
      </c>
      <c r="N34" s="55">
        <f t="shared" si="4"/>
        <v>24</v>
      </c>
      <c r="O34" s="55">
        <f t="shared" si="4"/>
        <v>24</v>
      </c>
      <c r="P34" s="55">
        <f t="shared" si="4"/>
        <v>24</v>
      </c>
      <c r="Q34" s="55">
        <f t="shared" si="4"/>
        <v>24</v>
      </c>
      <c r="R34" s="55">
        <f t="shared" si="4"/>
        <v>24</v>
      </c>
      <c r="S34" s="55">
        <f t="shared" si="4"/>
        <v>24</v>
      </c>
      <c r="T34" s="55">
        <f t="shared" si="4"/>
        <v>24</v>
      </c>
      <c r="U34" s="55">
        <f t="shared" si="4"/>
        <v>24</v>
      </c>
      <c r="V34" s="55">
        <f t="shared" si="4"/>
        <v>24</v>
      </c>
      <c r="W34" s="55">
        <f t="shared" si="4"/>
        <v>24</v>
      </c>
      <c r="X34" s="55">
        <f t="shared" si="4"/>
        <v>24</v>
      </c>
      <c r="Y34" s="55">
        <f t="shared" si="4"/>
        <v>24</v>
      </c>
      <c r="Z34" s="55">
        <f t="shared" si="4"/>
        <v>24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20.0</v>
      </c>
      <c r="K2" s="29" t="s">
        <v>37</v>
      </c>
      <c r="N2" s="33">
        <f t="shared" ref="N2:N3" si="1">SUM(E32:AA32)</f>
        <v>411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4.0</v>
      </c>
      <c r="K3" s="29" t="s">
        <v>43</v>
      </c>
      <c r="N3" s="33">
        <f t="shared" si="1"/>
        <v>21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432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>
        <f>SUM(N2/N4)</f>
        <v>0.9513888889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56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  <c r="Z7" s="40"/>
      <c r="AA7" s="40"/>
    </row>
    <row r="8" ht="15.0" customHeight="1">
      <c r="A8" s="41" t="s">
        <v>104</v>
      </c>
      <c r="B8" s="41" t="s">
        <v>105</v>
      </c>
      <c r="C8" s="57" t="s">
        <v>106</v>
      </c>
      <c r="D8" s="42" t="s">
        <v>78</v>
      </c>
      <c r="E8" s="42" t="s">
        <v>4</v>
      </c>
      <c r="F8" s="42" t="s">
        <v>4</v>
      </c>
      <c r="G8" s="42" t="s">
        <v>4</v>
      </c>
      <c r="H8" s="73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20</v>
      </c>
      <c r="S8" s="42" t="s">
        <v>4</v>
      </c>
      <c r="T8" s="42" t="s">
        <v>6</v>
      </c>
      <c r="U8" s="42" t="s">
        <v>16</v>
      </c>
      <c r="V8" s="42" t="s">
        <v>4</v>
      </c>
      <c r="W8" s="42" t="s">
        <v>4</v>
      </c>
      <c r="X8" s="42" t="s">
        <v>4</v>
      </c>
      <c r="Y8" s="42" t="s">
        <v>4</v>
      </c>
      <c r="Z8" s="42"/>
      <c r="AA8" s="42"/>
    </row>
    <row r="9" ht="15.0" customHeight="1">
      <c r="A9" s="66" t="s">
        <v>107</v>
      </c>
      <c r="B9" s="66" t="s">
        <v>108</v>
      </c>
      <c r="C9" s="67" t="s">
        <v>109</v>
      </c>
      <c r="D9" s="42" t="s">
        <v>68</v>
      </c>
      <c r="E9" s="68" t="s">
        <v>4</v>
      </c>
      <c r="F9" s="68" t="s">
        <v>4</v>
      </c>
      <c r="G9" s="68" t="s">
        <v>4</v>
      </c>
      <c r="H9" s="74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8" t="s">
        <v>10</v>
      </c>
      <c r="R9" s="68" t="s">
        <v>20</v>
      </c>
      <c r="S9" s="68" t="s">
        <v>6</v>
      </c>
      <c r="T9" s="68" t="s">
        <v>4</v>
      </c>
      <c r="U9" s="68" t="s">
        <v>16</v>
      </c>
      <c r="V9" s="68" t="s">
        <v>4</v>
      </c>
      <c r="W9" s="68" t="s">
        <v>4</v>
      </c>
      <c r="X9" s="68" t="s">
        <v>4</v>
      </c>
      <c r="Y9" s="68" t="s">
        <v>4</v>
      </c>
      <c r="Z9" s="42"/>
      <c r="AA9" s="42"/>
    </row>
    <row r="10" ht="15.0" customHeight="1">
      <c r="A10" s="41" t="s">
        <v>110</v>
      </c>
      <c r="B10" s="41" t="s">
        <v>111</v>
      </c>
      <c r="C10" s="58" t="s">
        <v>112</v>
      </c>
      <c r="D10" s="42" t="s">
        <v>78</v>
      </c>
      <c r="E10" s="42" t="s">
        <v>4</v>
      </c>
      <c r="F10" s="42" t="s">
        <v>4</v>
      </c>
      <c r="G10" s="42" t="s">
        <v>4</v>
      </c>
      <c r="H10" s="73" t="s">
        <v>10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20</v>
      </c>
      <c r="S10" s="42" t="s">
        <v>4</v>
      </c>
      <c r="T10" s="42" t="s">
        <v>4</v>
      </c>
      <c r="U10" s="42" t="s">
        <v>16</v>
      </c>
      <c r="V10" s="42" t="s">
        <v>4</v>
      </c>
      <c r="W10" s="42" t="s">
        <v>4</v>
      </c>
      <c r="X10" s="42" t="s">
        <v>4</v>
      </c>
      <c r="Y10" s="42" t="s">
        <v>4</v>
      </c>
      <c r="Z10" s="42"/>
      <c r="AA10" s="42"/>
    </row>
    <row r="11" ht="15.0" customHeight="1">
      <c r="A11" s="41" t="s">
        <v>113</v>
      </c>
      <c r="B11" s="41" t="s">
        <v>114</v>
      </c>
      <c r="C11" s="58">
        <v>343819.0</v>
      </c>
      <c r="D11" s="42" t="s">
        <v>78</v>
      </c>
      <c r="E11" s="42" t="s">
        <v>4</v>
      </c>
      <c r="F11" s="42" t="s">
        <v>4</v>
      </c>
      <c r="G11" s="42" t="s">
        <v>4</v>
      </c>
      <c r="H11" s="73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20</v>
      </c>
      <c r="S11" s="42" t="s">
        <v>4</v>
      </c>
      <c r="T11" s="42" t="s">
        <v>4</v>
      </c>
      <c r="U11" s="42" t="s">
        <v>16</v>
      </c>
      <c r="V11" s="42" t="s">
        <v>4</v>
      </c>
      <c r="W11" s="42" t="s">
        <v>4</v>
      </c>
      <c r="X11" s="42" t="s">
        <v>4</v>
      </c>
      <c r="Y11" s="42" t="s">
        <v>4</v>
      </c>
      <c r="Z11" s="42"/>
      <c r="AA11" s="42"/>
    </row>
    <row r="12" ht="15.0" customHeight="1">
      <c r="A12" s="41" t="s">
        <v>115</v>
      </c>
      <c r="B12" s="41" t="s">
        <v>105</v>
      </c>
      <c r="C12" s="58" t="s">
        <v>116</v>
      </c>
      <c r="D12" s="42" t="s">
        <v>78</v>
      </c>
      <c r="E12" s="42" t="s">
        <v>4</v>
      </c>
      <c r="F12" s="42" t="s">
        <v>4</v>
      </c>
      <c r="G12" s="42" t="s">
        <v>4</v>
      </c>
      <c r="H12" s="73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20</v>
      </c>
      <c r="S12" s="42" t="s">
        <v>4</v>
      </c>
      <c r="T12" s="42" t="s">
        <v>4</v>
      </c>
      <c r="U12" s="42" t="s">
        <v>16</v>
      </c>
      <c r="V12" s="42" t="s">
        <v>4</v>
      </c>
      <c r="W12" s="42" t="s">
        <v>4</v>
      </c>
      <c r="X12" s="42" t="s">
        <v>4</v>
      </c>
      <c r="Y12" s="42" t="s">
        <v>4</v>
      </c>
      <c r="Z12" s="42"/>
      <c r="AA12" s="42"/>
    </row>
    <row r="13" ht="15.0" customHeight="1">
      <c r="A13" s="41" t="s">
        <v>117</v>
      </c>
      <c r="B13" s="41" t="s">
        <v>118</v>
      </c>
      <c r="C13" s="58" t="s">
        <v>119</v>
      </c>
      <c r="D13" s="42" t="s">
        <v>78</v>
      </c>
      <c r="E13" s="42" t="s">
        <v>4</v>
      </c>
      <c r="F13" s="42" t="s">
        <v>4</v>
      </c>
      <c r="G13" s="42" t="s">
        <v>4</v>
      </c>
      <c r="H13" s="73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20</v>
      </c>
      <c r="S13" s="42" t="s">
        <v>4</v>
      </c>
      <c r="T13" s="42" t="s">
        <v>4</v>
      </c>
      <c r="U13" s="42" t="s">
        <v>16</v>
      </c>
      <c r="V13" s="42" t="s">
        <v>4</v>
      </c>
      <c r="W13" s="42" t="s">
        <v>4</v>
      </c>
      <c r="X13" s="42" t="s">
        <v>4</v>
      </c>
      <c r="Y13" s="42" t="s">
        <v>4</v>
      </c>
      <c r="Z13" s="42"/>
      <c r="AA13" s="42"/>
    </row>
    <row r="14" ht="15.0" customHeight="1">
      <c r="A14" s="41" t="s">
        <v>120</v>
      </c>
      <c r="B14" s="41" t="s">
        <v>121</v>
      </c>
      <c r="C14" s="58" t="s">
        <v>122</v>
      </c>
      <c r="D14" s="42" t="s">
        <v>78</v>
      </c>
      <c r="E14" s="42" t="s">
        <v>4</v>
      </c>
      <c r="F14" s="42" t="s">
        <v>4</v>
      </c>
      <c r="G14" s="42" t="s">
        <v>4</v>
      </c>
      <c r="H14" s="73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20</v>
      </c>
      <c r="S14" s="42" t="s">
        <v>6</v>
      </c>
      <c r="T14" s="42" t="s">
        <v>4</v>
      </c>
      <c r="U14" s="42" t="s">
        <v>16</v>
      </c>
      <c r="V14" s="42" t="s">
        <v>4</v>
      </c>
      <c r="W14" s="42" t="s">
        <v>4</v>
      </c>
      <c r="X14" s="42" t="s">
        <v>4</v>
      </c>
      <c r="Y14" s="42" t="s">
        <v>4</v>
      </c>
      <c r="Z14" s="42"/>
      <c r="AA14" s="42"/>
    </row>
    <row r="15" ht="15.0" customHeight="1">
      <c r="A15" s="41" t="s">
        <v>123</v>
      </c>
      <c r="B15" s="41" t="s">
        <v>124</v>
      </c>
      <c r="C15" s="58" t="s">
        <v>125</v>
      </c>
      <c r="D15" s="42" t="s">
        <v>78</v>
      </c>
      <c r="E15" s="42" t="s">
        <v>4</v>
      </c>
      <c r="F15" s="42" t="s">
        <v>4</v>
      </c>
      <c r="G15" s="42" t="s">
        <v>4</v>
      </c>
      <c r="H15" s="73" t="s">
        <v>4</v>
      </c>
      <c r="I15" s="42" t="s">
        <v>4</v>
      </c>
      <c r="J15" s="42" t="s">
        <v>10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20</v>
      </c>
      <c r="S15" s="42" t="s">
        <v>4</v>
      </c>
      <c r="T15" s="42" t="s">
        <v>4</v>
      </c>
      <c r="U15" s="42" t="s">
        <v>16</v>
      </c>
      <c r="V15" s="42" t="s">
        <v>4</v>
      </c>
      <c r="W15" s="42" t="s">
        <v>4</v>
      </c>
      <c r="X15" s="42" t="s">
        <v>4</v>
      </c>
      <c r="Y15" s="42" t="s">
        <v>4</v>
      </c>
      <c r="Z15" s="42"/>
      <c r="AA15" s="42"/>
    </row>
    <row r="16" ht="15.0" customHeight="1">
      <c r="A16" s="41" t="s">
        <v>126</v>
      </c>
      <c r="B16" s="41" t="s">
        <v>127</v>
      </c>
      <c r="C16" s="58">
        <v>154362.0</v>
      </c>
      <c r="D16" s="42" t="s">
        <v>78</v>
      </c>
      <c r="E16" s="42" t="s">
        <v>4</v>
      </c>
      <c r="F16" s="42" t="s">
        <v>4</v>
      </c>
      <c r="G16" s="42" t="s">
        <v>4</v>
      </c>
      <c r="H16" s="73" t="s">
        <v>4</v>
      </c>
      <c r="I16" s="42" t="s">
        <v>4</v>
      </c>
      <c r="J16" s="42" t="s">
        <v>10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20</v>
      </c>
      <c r="S16" s="42" t="s">
        <v>6</v>
      </c>
      <c r="T16" s="42" t="s">
        <v>4</v>
      </c>
      <c r="U16" s="42" t="s">
        <v>16</v>
      </c>
      <c r="V16" s="42" t="s">
        <v>4</v>
      </c>
      <c r="W16" s="42" t="s">
        <v>4</v>
      </c>
      <c r="X16" s="42" t="s">
        <v>4</v>
      </c>
      <c r="Y16" s="42" t="s">
        <v>4</v>
      </c>
      <c r="Z16" s="42"/>
      <c r="AA16" s="42"/>
    </row>
    <row r="17" ht="15.0" customHeight="1">
      <c r="A17" s="41" t="s">
        <v>128</v>
      </c>
      <c r="B17" s="41" t="s">
        <v>129</v>
      </c>
      <c r="C17" s="58" t="s">
        <v>130</v>
      </c>
      <c r="D17" s="42" t="s">
        <v>78</v>
      </c>
      <c r="E17" s="42" t="s">
        <v>4</v>
      </c>
      <c r="F17" s="42" t="s">
        <v>4</v>
      </c>
      <c r="G17" s="42" t="s">
        <v>4</v>
      </c>
      <c r="H17" s="73" t="s">
        <v>4</v>
      </c>
      <c r="I17" s="42" t="s">
        <v>4</v>
      </c>
      <c r="J17" s="42" t="s">
        <v>10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20</v>
      </c>
      <c r="S17" s="42" t="s">
        <v>6</v>
      </c>
      <c r="T17" s="42" t="s">
        <v>4</v>
      </c>
      <c r="U17" s="42" t="s">
        <v>16</v>
      </c>
      <c r="V17" s="42" t="s">
        <v>4</v>
      </c>
      <c r="W17" s="42" t="s">
        <v>4</v>
      </c>
      <c r="X17" s="42" t="s">
        <v>4</v>
      </c>
      <c r="Y17" s="42" t="s">
        <v>4</v>
      </c>
      <c r="Z17" s="42"/>
      <c r="AA17" s="42"/>
    </row>
    <row r="18" ht="15.0" customHeight="1">
      <c r="A18" s="66" t="s">
        <v>131</v>
      </c>
      <c r="B18" s="66" t="s">
        <v>132</v>
      </c>
      <c r="C18" s="67" t="s">
        <v>133</v>
      </c>
      <c r="D18" s="42" t="s">
        <v>68</v>
      </c>
      <c r="E18" s="68" t="s">
        <v>4</v>
      </c>
      <c r="F18" s="68" t="s">
        <v>4</v>
      </c>
      <c r="G18" s="68" t="s">
        <v>4</v>
      </c>
      <c r="H18" s="74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20</v>
      </c>
      <c r="S18" s="68" t="s">
        <v>4</v>
      </c>
      <c r="T18" s="68" t="s">
        <v>4</v>
      </c>
      <c r="U18" s="68" t="s">
        <v>16</v>
      </c>
      <c r="V18" s="68" t="s">
        <v>4</v>
      </c>
      <c r="W18" s="68" t="s">
        <v>4</v>
      </c>
      <c r="X18" s="68" t="s">
        <v>4</v>
      </c>
      <c r="Y18" s="68" t="s">
        <v>4</v>
      </c>
      <c r="Z18" s="42"/>
      <c r="AA18" s="42"/>
    </row>
    <row r="19" ht="15.0" customHeight="1">
      <c r="A19" s="41" t="s">
        <v>134</v>
      </c>
      <c r="B19" s="41" t="s">
        <v>135</v>
      </c>
      <c r="C19" s="58">
        <v>524536.0</v>
      </c>
      <c r="D19" s="42" t="s">
        <v>78</v>
      </c>
      <c r="E19" s="42" t="s">
        <v>4</v>
      </c>
      <c r="F19" s="42" t="s">
        <v>4</v>
      </c>
      <c r="G19" s="42" t="s">
        <v>4</v>
      </c>
      <c r="H19" s="73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20</v>
      </c>
      <c r="S19" s="42" t="s">
        <v>4</v>
      </c>
      <c r="T19" s="42" t="s">
        <v>4</v>
      </c>
      <c r="U19" s="42" t="s">
        <v>16</v>
      </c>
      <c r="V19" s="42" t="s">
        <v>4</v>
      </c>
      <c r="W19" s="42" t="s">
        <v>4</v>
      </c>
      <c r="X19" s="42" t="s">
        <v>4</v>
      </c>
      <c r="Y19" s="42" t="s">
        <v>4</v>
      </c>
      <c r="Z19" s="42"/>
      <c r="AA19" s="42"/>
    </row>
    <row r="20" ht="15.0" customHeight="1">
      <c r="A20" s="41" t="s">
        <v>136</v>
      </c>
      <c r="B20" s="41" t="s">
        <v>121</v>
      </c>
      <c r="C20" s="58" t="s">
        <v>137</v>
      </c>
      <c r="D20" s="42" t="s">
        <v>78</v>
      </c>
      <c r="E20" s="42" t="s">
        <v>4</v>
      </c>
      <c r="F20" s="42" t="s">
        <v>4</v>
      </c>
      <c r="G20" s="42" t="s">
        <v>4</v>
      </c>
      <c r="H20" s="73" t="s">
        <v>10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20</v>
      </c>
      <c r="S20" s="42" t="s">
        <v>4</v>
      </c>
      <c r="T20" s="42" t="s">
        <v>4</v>
      </c>
      <c r="U20" s="42" t="s">
        <v>16</v>
      </c>
      <c r="V20" s="42" t="s">
        <v>4</v>
      </c>
      <c r="W20" s="42" t="s">
        <v>4</v>
      </c>
      <c r="X20" s="42" t="s">
        <v>4</v>
      </c>
      <c r="Y20" s="42" t="s">
        <v>4</v>
      </c>
      <c r="Z20" s="42"/>
      <c r="AA20" s="42"/>
    </row>
    <row r="21" ht="15.0" customHeight="1">
      <c r="A21" s="41" t="s">
        <v>138</v>
      </c>
      <c r="B21" s="41" t="s">
        <v>139</v>
      </c>
      <c r="C21" s="58" t="s">
        <v>140</v>
      </c>
      <c r="D21" s="42" t="s">
        <v>78</v>
      </c>
      <c r="E21" s="42" t="s">
        <v>4</v>
      </c>
      <c r="F21" s="42" t="s">
        <v>4</v>
      </c>
      <c r="G21" s="42" t="s">
        <v>4</v>
      </c>
      <c r="H21" s="73" t="s">
        <v>4</v>
      </c>
      <c r="I21" s="42" t="s">
        <v>8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20</v>
      </c>
      <c r="S21" s="42" t="s">
        <v>6</v>
      </c>
      <c r="T21" s="42" t="s">
        <v>4</v>
      </c>
      <c r="U21" s="42" t="s">
        <v>16</v>
      </c>
      <c r="V21" s="42" t="s">
        <v>4</v>
      </c>
      <c r="W21" s="42" t="s">
        <v>4</v>
      </c>
      <c r="X21" s="42" t="s">
        <v>4</v>
      </c>
      <c r="Y21" s="42" t="s">
        <v>4</v>
      </c>
      <c r="Z21" s="42"/>
      <c r="AA21" s="42"/>
    </row>
    <row r="22" ht="15.0" customHeight="1">
      <c r="A22" s="41" t="s">
        <v>141</v>
      </c>
      <c r="B22" s="41" t="s">
        <v>142</v>
      </c>
      <c r="C22" s="58" t="s">
        <v>143</v>
      </c>
      <c r="D22" s="42" t="s">
        <v>78</v>
      </c>
      <c r="E22" s="42" t="s">
        <v>4</v>
      </c>
      <c r="F22" s="42" t="s">
        <v>4</v>
      </c>
      <c r="G22" s="42" t="s">
        <v>4</v>
      </c>
      <c r="H22" s="73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20</v>
      </c>
      <c r="S22" s="42" t="s">
        <v>6</v>
      </c>
      <c r="T22" s="42" t="s">
        <v>4</v>
      </c>
      <c r="U22" s="42" t="s">
        <v>16</v>
      </c>
      <c r="V22" s="42" t="s">
        <v>4</v>
      </c>
      <c r="W22" s="42" t="s">
        <v>4</v>
      </c>
      <c r="X22" s="42" t="s">
        <v>4</v>
      </c>
      <c r="Y22" s="42" t="s">
        <v>10</v>
      </c>
      <c r="Z22" s="42"/>
      <c r="AA22" s="42"/>
    </row>
    <row r="23" ht="15.0" customHeight="1">
      <c r="A23" s="41" t="s">
        <v>144</v>
      </c>
      <c r="B23" s="41" t="s">
        <v>145</v>
      </c>
      <c r="C23" s="58" t="s">
        <v>146</v>
      </c>
      <c r="D23" s="42" t="s">
        <v>78</v>
      </c>
      <c r="E23" s="42" t="s">
        <v>4</v>
      </c>
      <c r="F23" s="42" t="s">
        <v>4</v>
      </c>
      <c r="G23" s="42" t="s">
        <v>10</v>
      </c>
      <c r="H23" s="73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20</v>
      </c>
      <c r="S23" s="42" t="s">
        <v>6</v>
      </c>
      <c r="T23" s="42" t="s">
        <v>4</v>
      </c>
      <c r="U23" s="42" t="s">
        <v>16</v>
      </c>
      <c r="V23" s="42" t="s">
        <v>4</v>
      </c>
      <c r="W23" s="42" t="s">
        <v>4</v>
      </c>
      <c r="X23" s="42" t="s">
        <v>4</v>
      </c>
      <c r="Y23" s="42" t="s">
        <v>10</v>
      </c>
      <c r="Z23" s="42"/>
      <c r="AA23" s="42"/>
    </row>
    <row r="24" ht="15.0" customHeight="1">
      <c r="A24" s="41" t="s">
        <v>147</v>
      </c>
      <c r="B24" s="41" t="s">
        <v>148</v>
      </c>
      <c r="C24" s="58" t="s">
        <v>149</v>
      </c>
      <c r="D24" s="42" t="s">
        <v>78</v>
      </c>
      <c r="E24" s="42" t="s">
        <v>4</v>
      </c>
      <c r="F24" s="42" t="s">
        <v>4</v>
      </c>
      <c r="G24" s="42" t="s">
        <v>4</v>
      </c>
      <c r="H24" s="73" t="s">
        <v>4</v>
      </c>
      <c r="I24" s="42" t="s">
        <v>4</v>
      </c>
      <c r="J24" s="42" t="s">
        <v>10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20</v>
      </c>
      <c r="S24" s="42" t="s">
        <v>6</v>
      </c>
      <c r="T24" s="42" t="s">
        <v>4</v>
      </c>
      <c r="U24" s="42" t="s">
        <v>16</v>
      </c>
      <c r="V24" s="42" t="s">
        <v>4</v>
      </c>
      <c r="W24" s="42" t="s">
        <v>4</v>
      </c>
      <c r="X24" s="42" t="s">
        <v>4</v>
      </c>
      <c r="Y24" s="42" t="s">
        <v>4</v>
      </c>
      <c r="Z24" s="42"/>
      <c r="AA24" s="42"/>
    </row>
    <row r="25" ht="15.0" customHeight="1">
      <c r="A25" s="41" t="s">
        <v>150</v>
      </c>
      <c r="B25" s="41" t="s">
        <v>151</v>
      </c>
      <c r="C25" s="59" t="s">
        <v>152</v>
      </c>
      <c r="D25" s="42" t="s">
        <v>78</v>
      </c>
      <c r="E25" s="42" t="s">
        <v>4</v>
      </c>
      <c r="F25" s="42" t="s">
        <v>4</v>
      </c>
      <c r="G25" s="42" t="s">
        <v>4</v>
      </c>
      <c r="H25" s="73" t="s">
        <v>4</v>
      </c>
      <c r="I25" s="42" t="s">
        <v>4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20</v>
      </c>
      <c r="S25" s="42" t="s">
        <v>4</v>
      </c>
      <c r="T25" s="42" t="s">
        <v>4</v>
      </c>
      <c r="U25" s="42" t="s">
        <v>16</v>
      </c>
      <c r="V25" s="42" t="s">
        <v>4</v>
      </c>
      <c r="W25" s="42" t="s">
        <v>4</v>
      </c>
      <c r="X25" s="42" t="s">
        <v>4</v>
      </c>
      <c r="Y25" s="42" t="s">
        <v>4</v>
      </c>
      <c r="Z25" s="42"/>
      <c r="AA25" s="42"/>
    </row>
    <row r="26" ht="15.0" customHeight="1">
      <c r="A26" s="66" t="s">
        <v>153</v>
      </c>
      <c r="B26" s="66" t="s">
        <v>111</v>
      </c>
      <c r="C26" s="72" t="s">
        <v>154</v>
      </c>
      <c r="D26" s="42" t="s">
        <v>68</v>
      </c>
      <c r="E26" s="68" t="s">
        <v>4</v>
      </c>
      <c r="F26" s="68" t="s">
        <v>4</v>
      </c>
      <c r="G26" s="68" t="s">
        <v>4</v>
      </c>
      <c r="H26" s="74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10</v>
      </c>
      <c r="Q26" s="68" t="s">
        <v>4</v>
      </c>
      <c r="R26" s="68" t="s">
        <v>20</v>
      </c>
      <c r="S26" s="68" t="s">
        <v>6</v>
      </c>
      <c r="T26" s="68" t="s">
        <v>4</v>
      </c>
      <c r="U26" s="68" t="s">
        <v>16</v>
      </c>
      <c r="V26" s="68" t="s">
        <v>4</v>
      </c>
      <c r="W26" s="68" t="s">
        <v>4</v>
      </c>
      <c r="X26" s="68" t="s">
        <v>4</v>
      </c>
      <c r="Y26" s="68" t="s">
        <v>4</v>
      </c>
      <c r="Z26" s="42"/>
      <c r="AA26" s="42"/>
    </row>
    <row r="27" ht="15.0" customHeight="1">
      <c r="A27" s="41" t="s">
        <v>155</v>
      </c>
      <c r="B27" s="41" t="s">
        <v>156</v>
      </c>
      <c r="C27" s="61" t="s">
        <v>157</v>
      </c>
      <c r="D27" s="42" t="s">
        <v>78</v>
      </c>
      <c r="E27" s="42" t="s">
        <v>4</v>
      </c>
      <c r="F27" s="42" t="s">
        <v>4</v>
      </c>
      <c r="G27" s="42" t="s">
        <v>4</v>
      </c>
      <c r="H27" s="73" t="s">
        <v>4</v>
      </c>
      <c r="I27" s="42" t="s">
        <v>4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4</v>
      </c>
      <c r="R27" s="42" t="s">
        <v>20</v>
      </c>
      <c r="S27" s="42" t="s">
        <v>4</v>
      </c>
      <c r="T27" s="42" t="s">
        <v>4</v>
      </c>
      <c r="U27" s="42" t="s">
        <v>16</v>
      </c>
      <c r="V27" s="42" t="s">
        <v>4</v>
      </c>
      <c r="W27" s="42" t="s">
        <v>4</v>
      </c>
      <c r="X27" s="42" t="s">
        <v>4</v>
      </c>
      <c r="Y27" s="42" t="s">
        <v>4</v>
      </c>
      <c r="Z27" s="42"/>
      <c r="AA27" s="42"/>
    </row>
    <row r="28" ht="15.0" customHeight="1">
      <c r="A28" s="66" t="s">
        <v>158</v>
      </c>
      <c r="B28" s="66" t="s">
        <v>159</v>
      </c>
      <c r="C28" s="72" t="s">
        <v>160</v>
      </c>
      <c r="D28" s="42" t="s">
        <v>68</v>
      </c>
      <c r="E28" s="68" t="s">
        <v>4</v>
      </c>
      <c r="F28" s="68" t="s">
        <v>4</v>
      </c>
      <c r="G28" s="68" t="s">
        <v>4</v>
      </c>
      <c r="H28" s="74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20</v>
      </c>
      <c r="S28" s="68" t="s">
        <v>6</v>
      </c>
      <c r="T28" s="68" t="s">
        <v>4</v>
      </c>
      <c r="U28" s="68" t="s">
        <v>16</v>
      </c>
      <c r="V28" s="68" t="s">
        <v>4</v>
      </c>
      <c r="W28" s="68" t="s">
        <v>4</v>
      </c>
      <c r="X28" s="68" t="s">
        <v>4</v>
      </c>
      <c r="Y28" s="68" t="s">
        <v>4</v>
      </c>
      <c r="Z28" s="42"/>
      <c r="AA28" s="42"/>
    </row>
    <row r="29" ht="15.0" customHeight="1">
      <c r="A29" s="41" t="s">
        <v>161</v>
      </c>
      <c r="B29" s="41" t="s">
        <v>162</v>
      </c>
      <c r="C29" s="62" t="s">
        <v>163</v>
      </c>
      <c r="D29" s="42" t="s">
        <v>78</v>
      </c>
      <c r="E29" s="42" t="s">
        <v>4</v>
      </c>
      <c r="F29" s="42" t="s">
        <v>4</v>
      </c>
      <c r="G29" s="42" t="s">
        <v>4</v>
      </c>
      <c r="H29" s="73" t="s">
        <v>4</v>
      </c>
      <c r="I29" s="42" t="s">
        <v>4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20</v>
      </c>
      <c r="S29" s="42" t="s">
        <v>4</v>
      </c>
      <c r="T29" s="42" t="s">
        <v>4</v>
      </c>
      <c r="U29" s="42" t="s">
        <v>16</v>
      </c>
      <c r="V29" s="42" t="s">
        <v>4</v>
      </c>
      <c r="W29" s="42" t="s">
        <v>4</v>
      </c>
      <c r="X29" s="42" t="s">
        <v>4</v>
      </c>
      <c r="Y29" s="42" t="s">
        <v>4</v>
      </c>
      <c r="Z29" s="42"/>
      <c r="AA29" s="42"/>
    </row>
    <row r="30" ht="15.0" customHeight="1">
      <c r="A30" s="41" t="s">
        <v>164</v>
      </c>
      <c r="B30" s="41" t="s">
        <v>165</v>
      </c>
      <c r="C30" s="62" t="s">
        <v>166</v>
      </c>
      <c r="D30" s="42" t="s">
        <v>78</v>
      </c>
      <c r="E30" s="42" t="s">
        <v>4</v>
      </c>
      <c r="F30" s="42" t="s">
        <v>4</v>
      </c>
      <c r="G30" s="42" t="s">
        <v>6</v>
      </c>
      <c r="H30" s="73" t="s">
        <v>4</v>
      </c>
      <c r="I30" s="42" t="s">
        <v>4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20</v>
      </c>
      <c r="S30" s="42" t="s">
        <v>4</v>
      </c>
      <c r="T30" s="42" t="s">
        <v>4</v>
      </c>
      <c r="U30" s="42" t="s">
        <v>16</v>
      </c>
      <c r="V30" s="42" t="s">
        <v>4</v>
      </c>
      <c r="W30" s="42" t="s">
        <v>4</v>
      </c>
      <c r="X30" s="42" t="s">
        <v>4</v>
      </c>
      <c r="Y30" s="42" t="s">
        <v>4</v>
      </c>
      <c r="Z30" s="42"/>
      <c r="AA30" s="42"/>
    </row>
    <row r="31" ht="15.0" customHeight="1">
      <c r="A31" s="41" t="s">
        <v>167</v>
      </c>
      <c r="B31" s="41" t="s">
        <v>168</v>
      </c>
      <c r="C31" s="63" t="s">
        <v>169</v>
      </c>
      <c r="D31" s="42" t="s">
        <v>78</v>
      </c>
      <c r="E31" s="42" t="s">
        <v>4</v>
      </c>
      <c r="F31" s="42" t="s">
        <v>4</v>
      </c>
      <c r="G31" s="42" t="s">
        <v>4</v>
      </c>
      <c r="H31" s="73" t="s">
        <v>4</v>
      </c>
      <c r="I31" s="42" t="s">
        <v>4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20</v>
      </c>
      <c r="S31" s="42" t="s">
        <v>4</v>
      </c>
      <c r="T31" s="42" t="s">
        <v>4</v>
      </c>
      <c r="U31" s="42" t="s">
        <v>16</v>
      </c>
      <c r="V31" s="42" t="s">
        <v>4</v>
      </c>
      <c r="W31" s="42" t="s">
        <v>4</v>
      </c>
      <c r="X31" s="42" t="s">
        <v>4</v>
      </c>
      <c r="Y31" s="42" t="s">
        <v>4</v>
      </c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G32" si="2">IF((COUNTIF(E8:E31,"*P*") + COUNTIF(E8:E31, "*L*")) &gt;= 0, COUNTIF(E8:E31,"*P*") + COUNTIF(E8:E31, "*L*"), "")</f>
        <v>24</v>
      </c>
      <c r="F32" s="49">
        <f t="shared" si="2"/>
        <v>24</v>
      </c>
      <c r="G32" s="49">
        <f t="shared" si="2"/>
        <v>22</v>
      </c>
      <c r="H32" s="49">
        <f>IF((COUNTIF(U8:U31,"*P*") + COUNTIF(U8:U31, "*L*")) &gt;= 0, COUNTIF(U8:U31,"*P*") + COUNTIF(U8:U31, "*L*"), "")</f>
        <v>0</v>
      </c>
      <c r="I32" s="49">
        <f t="shared" ref="I32:T32" si="3">IF((COUNTIF(I8:I31,"*P*") + COUNTIF(I8:I31, "*L*")) &gt;= 0, COUNTIF(I8:I31,"*P*") + COUNTIF(I8:I31, "*L*"), "")</f>
        <v>24</v>
      </c>
      <c r="J32" s="49">
        <f t="shared" si="3"/>
        <v>20</v>
      </c>
      <c r="K32" s="49">
        <f t="shared" si="3"/>
        <v>24</v>
      </c>
      <c r="L32" s="49">
        <f t="shared" si="3"/>
        <v>24</v>
      </c>
      <c r="M32" s="49">
        <f t="shared" si="3"/>
        <v>24</v>
      </c>
      <c r="N32" s="49">
        <f t="shared" si="3"/>
        <v>24</v>
      </c>
      <c r="O32" s="49">
        <f t="shared" si="3"/>
        <v>24</v>
      </c>
      <c r="P32" s="49">
        <f t="shared" si="3"/>
        <v>23</v>
      </c>
      <c r="Q32" s="49">
        <f t="shared" si="3"/>
        <v>23</v>
      </c>
      <c r="R32" s="49">
        <f t="shared" si="3"/>
        <v>0</v>
      </c>
      <c r="S32" s="49">
        <f t="shared" si="3"/>
        <v>14</v>
      </c>
      <c r="T32" s="49">
        <f t="shared" si="3"/>
        <v>23</v>
      </c>
      <c r="U32" s="49">
        <f>IF((COUNTIF(#REF!,"*P*") + COUNTIF(#REF!, "*L*")) &gt;= 0, COUNTIF(#REF!,"*P*") + COUNTIF(#REF!, "*L*"), "")</f>
        <v>0</v>
      </c>
      <c r="V32" s="49">
        <f t="shared" ref="V32:AA32" si="4">IF((COUNTIF(V8:V31,"*P*") + COUNTIF(V8:V31, "*L*")) &gt;= 0, COUNTIF(V8:V31,"*P*") + COUNTIF(V8:V31, "*L*"), "")</f>
        <v>24</v>
      </c>
      <c r="W32" s="49">
        <f t="shared" si="4"/>
        <v>24</v>
      </c>
      <c r="X32" s="49">
        <f t="shared" si="4"/>
        <v>24</v>
      </c>
      <c r="Y32" s="49">
        <f t="shared" si="4"/>
        <v>22</v>
      </c>
      <c r="Z32" s="49">
        <f t="shared" si="4"/>
        <v>0</v>
      </c>
      <c r="AA32" s="49">
        <f t="shared" si="4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G33" si="5">IF((COUNTIF(E8:E31,"*A*") + COUNTIF(E8:E31, "*E*")) &gt;= 0, COUNTIF(E8:E31,"*A*") + COUNTIF(E8:E31, "*E*"), "")</f>
        <v>0</v>
      </c>
      <c r="F33" s="54">
        <f t="shared" si="5"/>
        <v>0</v>
      </c>
      <c r="G33" s="54">
        <f t="shared" si="5"/>
        <v>2</v>
      </c>
      <c r="H33" s="54">
        <f>IF((COUNTIF(U8:U31,"*A*") + COUNTIF(U8:U31, "*E*")) &gt;= 0, COUNTIF(U8:U31,"*A*") + COUNTIF(U8:U31, "*E*"), "")</f>
        <v>0</v>
      </c>
      <c r="I33" s="54">
        <f t="shared" ref="I33:T33" si="6">IF((COUNTIF(I8:I31,"*A*") + COUNTIF(I8:I31, "*E*")) &gt;= 0, COUNTIF(I8:I31,"*A*") + COUNTIF(I8:I31, "*E*"), "")</f>
        <v>0</v>
      </c>
      <c r="J33" s="54">
        <f t="shared" si="6"/>
        <v>4</v>
      </c>
      <c r="K33" s="54">
        <f t="shared" si="6"/>
        <v>0</v>
      </c>
      <c r="L33" s="54">
        <f t="shared" si="6"/>
        <v>0</v>
      </c>
      <c r="M33" s="54">
        <f t="shared" si="6"/>
        <v>0</v>
      </c>
      <c r="N33" s="54">
        <f t="shared" si="6"/>
        <v>0</v>
      </c>
      <c r="O33" s="54">
        <f t="shared" si="6"/>
        <v>0</v>
      </c>
      <c r="P33" s="54">
        <f t="shared" si="6"/>
        <v>1</v>
      </c>
      <c r="Q33" s="54">
        <f t="shared" si="6"/>
        <v>1</v>
      </c>
      <c r="R33" s="54">
        <f t="shared" si="6"/>
        <v>0</v>
      </c>
      <c r="S33" s="54">
        <f t="shared" si="6"/>
        <v>10</v>
      </c>
      <c r="T33" s="54">
        <f t="shared" si="6"/>
        <v>1</v>
      </c>
      <c r="U33" s="54">
        <f>IF((COUNTIF(#REF!,"*A*") + COUNTIF(#REF!, "*E*")) &gt;= 0, COUNTIF(#REF!,"*A*") + COUNTIF(#REF!, "*E*"), "")</f>
        <v>0</v>
      </c>
      <c r="V33" s="54">
        <f t="shared" ref="V33:AA33" si="7">IF((COUNTIF(V8:V31,"*A*") + COUNTIF(V8:V31, "*E*")) &gt;= 0, COUNTIF(V8:V31,"*A*") + COUNTIF(V8:V31, "*E*"), "")</f>
        <v>0</v>
      </c>
      <c r="W33" s="54">
        <f t="shared" si="7"/>
        <v>0</v>
      </c>
      <c r="X33" s="54">
        <f t="shared" si="7"/>
        <v>0</v>
      </c>
      <c r="Y33" s="54">
        <f t="shared" si="7"/>
        <v>2</v>
      </c>
      <c r="Z33" s="54">
        <f t="shared" si="7"/>
        <v>0</v>
      </c>
      <c r="AA33" s="54">
        <f t="shared" si="7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8">SUM(E32+E33)</f>
        <v>24</v>
      </c>
      <c r="F34" s="55">
        <f t="shared" si="8"/>
        <v>24</v>
      </c>
      <c r="G34" s="55">
        <f t="shared" si="8"/>
        <v>24</v>
      </c>
      <c r="H34" s="55">
        <f t="shared" si="8"/>
        <v>0</v>
      </c>
      <c r="I34" s="55">
        <f t="shared" si="8"/>
        <v>24</v>
      </c>
      <c r="J34" s="55">
        <f t="shared" si="8"/>
        <v>24</v>
      </c>
      <c r="K34" s="55">
        <f t="shared" si="8"/>
        <v>24</v>
      </c>
      <c r="L34" s="55">
        <f t="shared" si="8"/>
        <v>24</v>
      </c>
      <c r="M34" s="55">
        <f t="shared" si="8"/>
        <v>24</v>
      </c>
      <c r="N34" s="55">
        <f t="shared" si="8"/>
        <v>24</v>
      </c>
      <c r="O34" s="55">
        <f t="shared" si="8"/>
        <v>24</v>
      </c>
      <c r="P34" s="55">
        <f t="shared" si="8"/>
        <v>24</v>
      </c>
      <c r="Q34" s="55">
        <f t="shared" si="8"/>
        <v>24</v>
      </c>
      <c r="R34" s="55">
        <f t="shared" si="8"/>
        <v>0</v>
      </c>
      <c r="S34" s="55">
        <f t="shared" si="8"/>
        <v>24</v>
      </c>
      <c r="T34" s="55">
        <f t="shared" si="8"/>
        <v>24</v>
      </c>
      <c r="U34" s="55">
        <f t="shared" si="8"/>
        <v>0</v>
      </c>
      <c r="V34" s="55">
        <f t="shared" si="8"/>
        <v>24</v>
      </c>
      <c r="W34" s="55">
        <f t="shared" si="8"/>
        <v>24</v>
      </c>
      <c r="X34" s="55">
        <f t="shared" si="8"/>
        <v>24</v>
      </c>
      <c r="Y34" s="55">
        <f t="shared" si="8"/>
        <v>24</v>
      </c>
      <c r="Z34" s="55">
        <f t="shared" si="8"/>
        <v>0</v>
      </c>
      <c r="AA34" s="55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20.0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4.0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56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 t="s">
        <v>104</v>
      </c>
      <c r="B8" s="41" t="s">
        <v>105</v>
      </c>
      <c r="C8" s="57" t="s">
        <v>106</v>
      </c>
      <c r="D8" s="42" t="s">
        <v>78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66" t="s">
        <v>107</v>
      </c>
      <c r="B9" s="66" t="s">
        <v>108</v>
      </c>
      <c r="C9" s="67" t="s">
        <v>109</v>
      </c>
      <c r="D9" s="42" t="s">
        <v>68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 t="s">
        <v>16</v>
      </c>
      <c r="T9" s="68"/>
      <c r="U9" s="68"/>
      <c r="V9" s="68"/>
      <c r="W9" s="68"/>
      <c r="X9" s="68"/>
      <c r="Y9" s="68"/>
      <c r="Z9" s="68"/>
      <c r="AA9" s="42"/>
    </row>
    <row r="10" ht="15.0" customHeight="1">
      <c r="A10" s="41" t="s">
        <v>110</v>
      </c>
      <c r="B10" s="41" t="s">
        <v>111</v>
      </c>
      <c r="C10" s="58" t="s">
        <v>112</v>
      </c>
      <c r="D10" s="42" t="s">
        <v>78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 t="s">
        <v>113</v>
      </c>
      <c r="B11" s="41" t="s">
        <v>114</v>
      </c>
      <c r="C11" s="58">
        <v>343819.0</v>
      </c>
      <c r="D11" s="42" t="s">
        <v>78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 t="s">
        <v>115</v>
      </c>
      <c r="B12" s="41" t="s">
        <v>105</v>
      </c>
      <c r="C12" s="58" t="s">
        <v>116</v>
      </c>
      <c r="D12" s="42" t="s">
        <v>78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 t="s">
        <v>117</v>
      </c>
      <c r="B13" s="41" t="s">
        <v>118</v>
      </c>
      <c r="C13" s="58" t="s">
        <v>119</v>
      </c>
      <c r="D13" s="42" t="s">
        <v>78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 t="s">
        <v>120</v>
      </c>
      <c r="B14" s="41" t="s">
        <v>121</v>
      </c>
      <c r="C14" s="58" t="s">
        <v>122</v>
      </c>
      <c r="D14" s="42" t="s">
        <v>78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 t="s">
        <v>123</v>
      </c>
      <c r="B15" s="41" t="s">
        <v>124</v>
      </c>
      <c r="C15" s="58" t="s">
        <v>125</v>
      </c>
      <c r="D15" s="42" t="s">
        <v>78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 t="s">
        <v>126</v>
      </c>
      <c r="B16" s="41" t="s">
        <v>127</v>
      </c>
      <c r="C16" s="58">
        <v>154362.0</v>
      </c>
      <c r="D16" s="42" t="s">
        <v>78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 t="s">
        <v>128</v>
      </c>
      <c r="B17" s="41" t="s">
        <v>129</v>
      </c>
      <c r="C17" s="58" t="s">
        <v>130</v>
      </c>
      <c r="D17" s="42" t="s">
        <v>78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66" t="s">
        <v>131</v>
      </c>
      <c r="B18" s="66" t="s">
        <v>132</v>
      </c>
      <c r="C18" s="67" t="s">
        <v>133</v>
      </c>
      <c r="D18" s="42" t="s">
        <v>68</v>
      </c>
      <c r="E18" s="42"/>
      <c r="F18" s="42"/>
      <c r="G18" s="42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 t="s">
        <v>16</v>
      </c>
      <c r="T18" s="68"/>
      <c r="U18" s="68"/>
      <c r="V18" s="68"/>
      <c r="W18" s="68"/>
      <c r="X18" s="68"/>
      <c r="Y18" s="68"/>
      <c r="Z18" s="68"/>
      <c r="AA18" s="42"/>
    </row>
    <row r="19" ht="15.0" customHeight="1">
      <c r="A19" s="41" t="s">
        <v>134</v>
      </c>
      <c r="B19" s="41" t="s">
        <v>135</v>
      </c>
      <c r="C19" s="58">
        <v>524536.0</v>
      </c>
      <c r="D19" s="42" t="s">
        <v>78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 t="s">
        <v>136</v>
      </c>
      <c r="B20" s="41" t="s">
        <v>121</v>
      </c>
      <c r="C20" s="58" t="s">
        <v>137</v>
      </c>
      <c r="D20" s="42" t="s">
        <v>78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 t="s">
        <v>138</v>
      </c>
      <c r="B21" s="41" t="s">
        <v>139</v>
      </c>
      <c r="C21" s="58" t="s">
        <v>140</v>
      </c>
      <c r="D21" s="42" t="s">
        <v>78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 t="s">
        <v>141</v>
      </c>
      <c r="B22" s="41" t="s">
        <v>142</v>
      </c>
      <c r="C22" s="58" t="s">
        <v>143</v>
      </c>
      <c r="D22" s="42" t="s">
        <v>78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 t="s">
        <v>144</v>
      </c>
      <c r="B23" s="41" t="s">
        <v>145</v>
      </c>
      <c r="C23" s="58" t="s">
        <v>146</v>
      </c>
      <c r="D23" s="42" t="s">
        <v>78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 t="s">
        <v>147</v>
      </c>
      <c r="B24" s="41" t="s">
        <v>148</v>
      </c>
      <c r="C24" s="58" t="s">
        <v>149</v>
      </c>
      <c r="D24" s="42" t="s">
        <v>78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1" t="s">
        <v>150</v>
      </c>
      <c r="B25" s="41" t="s">
        <v>151</v>
      </c>
      <c r="C25" s="59" t="s">
        <v>152</v>
      </c>
      <c r="D25" s="42" t="s">
        <v>78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66" t="s">
        <v>153</v>
      </c>
      <c r="B26" s="66" t="s">
        <v>111</v>
      </c>
      <c r="C26" s="72" t="s">
        <v>154</v>
      </c>
      <c r="D26" s="42" t="s">
        <v>68</v>
      </c>
      <c r="E26" s="42"/>
      <c r="F26" s="42"/>
      <c r="G26" s="42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 t="s">
        <v>16</v>
      </c>
      <c r="T26" s="68"/>
      <c r="U26" s="68"/>
      <c r="V26" s="68"/>
      <c r="W26" s="68"/>
      <c r="X26" s="68"/>
      <c r="Y26" s="68"/>
      <c r="Z26" s="68"/>
      <c r="AA26" s="42"/>
    </row>
    <row r="27" ht="15.0" customHeight="1">
      <c r="A27" s="41" t="s">
        <v>155</v>
      </c>
      <c r="B27" s="41" t="s">
        <v>156</v>
      </c>
      <c r="C27" s="61" t="s">
        <v>157</v>
      </c>
      <c r="D27" s="42" t="s">
        <v>78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15.0" customHeight="1">
      <c r="A28" s="66" t="s">
        <v>158</v>
      </c>
      <c r="B28" s="66" t="s">
        <v>159</v>
      </c>
      <c r="C28" s="72" t="s">
        <v>160</v>
      </c>
      <c r="D28" s="42" t="s">
        <v>68</v>
      </c>
      <c r="E28" s="42"/>
      <c r="F28" s="42"/>
      <c r="G28" s="42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 t="s">
        <v>16</v>
      </c>
      <c r="T28" s="68"/>
      <c r="U28" s="68"/>
      <c r="V28" s="68"/>
      <c r="W28" s="68"/>
      <c r="X28" s="68"/>
      <c r="Y28" s="68"/>
      <c r="Z28" s="68"/>
      <c r="AA28" s="42"/>
    </row>
    <row r="29" ht="15.0" customHeight="1">
      <c r="A29" s="41" t="s">
        <v>161</v>
      </c>
      <c r="B29" s="41" t="s">
        <v>162</v>
      </c>
      <c r="C29" s="62" t="s">
        <v>163</v>
      </c>
      <c r="D29" s="42" t="s">
        <v>78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 t="s">
        <v>16</v>
      </c>
      <c r="T29" s="42"/>
      <c r="U29" s="42"/>
      <c r="V29" s="42"/>
      <c r="W29" s="42"/>
      <c r="X29" s="42"/>
      <c r="Y29" s="42"/>
      <c r="Z29" s="42"/>
      <c r="AA29" s="42"/>
    </row>
    <row r="30" ht="15.0" customHeight="1">
      <c r="A30" s="41" t="s">
        <v>164</v>
      </c>
      <c r="B30" s="41" t="s">
        <v>165</v>
      </c>
      <c r="C30" s="62" t="s">
        <v>166</v>
      </c>
      <c r="D30" s="42" t="s">
        <v>78</v>
      </c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 t="s">
        <v>16</v>
      </c>
      <c r="T30" s="42"/>
      <c r="U30" s="42"/>
      <c r="V30" s="42"/>
      <c r="W30" s="42"/>
      <c r="X30" s="42"/>
      <c r="Y30" s="42"/>
      <c r="Z30" s="42"/>
      <c r="AA30" s="42"/>
    </row>
    <row r="31" ht="15.0" customHeight="1">
      <c r="A31" s="41" t="s">
        <v>167</v>
      </c>
      <c r="B31" s="41" t="s">
        <v>168</v>
      </c>
      <c r="C31" s="63" t="s">
        <v>169</v>
      </c>
      <c r="D31" s="42" t="s">
        <v>78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 t="s">
        <v>16</v>
      </c>
      <c r="T31" s="42"/>
      <c r="U31" s="42"/>
      <c r="V31" s="42"/>
      <c r="W31" s="42"/>
      <c r="X31" s="42"/>
      <c r="Y31" s="42"/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0</v>
      </c>
      <c r="L32" s="49">
        <f t="shared" si="2"/>
        <v>0</v>
      </c>
      <c r="M32" s="49">
        <f t="shared" si="2"/>
        <v>0</v>
      </c>
      <c r="N32" s="49">
        <f t="shared" si="2"/>
        <v>0</v>
      </c>
      <c r="O32" s="49">
        <f t="shared" si="2"/>
        <v>0</v>
      </c>
      <c r="P32" s="49">
        <f t="shared" si="2"/>
        <v>0</v>
      </c>
      <c r="Q32" s="49">
        <f t="shared" si="2"/>
        <v>0</v>
      </c>
      <c r="R32" s="49">
        <f t="shared" si="2"/>
        <v>0</v>
      </c>
      <c r="S32" s="49">
        <f t="shared" si="2"/>
        <v>0</v>
      </c>
      <c r="T32" s="49">
        <f t="shared" si="2"/>
        <v>0</v>
      </c>
      <c r="U32" s="49">
        <f t="shared" si="2"/>
        <v>0</v>
      </c>
      <c r="V32" s="49">
        <f t="shared" si="2"/>
        <v>0</v>
      </c>
      <c r="W32" s="49">
        <f t="shared" si="2"/>
        <v>0</v>
      </c>
      <c r="X32" s="49">
        <f t="shared" si="2"/>
        <v>0</v>
      </c>
      <c r="Y32" s="49">
        <f t="shared" si="2"/>
        <v>0</v>
      </c>
      <c r="Z32" s="49">
        <f t="shared" si="2"/>
        <v>0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0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0</v>
      </c>
      <c r="L34" s="55">
        <f t="shared" si="4"/>
        <v>0</v>
      </c>
      <c r="M34" s="55">
        <f t="shared" si="4"/>
        <v>0</v>
      </c>
      <c r="N34" s="55">
        <f t="shared" si="4"/>
        <v>0</v>
      </c>
      <c r="O34" s="55">
        <f t="shared" si="4"/>
        <v>0</v>
      </c>
      <c r="P34" s="55">
        <f t="shared" si="4"/>
        <v>0</v>
      </c>
      <c r="Q34" s="55">
        <f t="shared" si="4"/>
        <v>0</v>
      </c>
      <c r="R34" s="55">
        <f t="shared" si="4"/>
        <v>0</v>
      </c>
      <c r="S34" s="55">
        <f t="shared" si="4"/>
        <v>0</v>
      </c>
      <c r="T34" s="55">
        <f t="shared" si="4"/>
        <v>0</v>
      </c>
      <c r="U34" s="55">
        <f t="shared" si="4"/>
        <v>0</v>
      </c>
      <c r="V34" s="55">
        <f t="shared" si="4"/>
        <v>0</v>
      </c>
      <c r="W34" s="55">
        <f t="shared" si="4"/>
        <v>0</v>
      </c>
      <c r="X34" s="55">
        <f t="shared" si="4"/>
        <v>0</v>
      </c>
      <c r="Y34" s="55">
        <f t="shared" si="4"/>
        <v>0</v>
      </c>
      <c r="Z34" s="55">
        <f t="shared" si="4"/>
        <v>0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1"/>
      <c r="B25" s="41"/>
      <c r="C25" s="42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1"/>
      <c r="B26" s="41"/>
      <c r="C26" s="42"/>
      <c r="D26" s="42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1"/>
      <c r="B27" s="41"/>
      <c r="C27" s="42"/>
      <c r="D27" s="42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15.0" customHeight="1">
      <c r="A28" s="41"/>
      <c r="B28" s="41"/>
      <c r="C28" s="42"/>
      <c r="D28" s="42"/>
      <c r="E28" s="42"/>
      <c r="F28" s="42"/>
      <c r="G28" s="42" t="s">
        <v>16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ht="15.0" customHeight="1">
      <c r="A29" s="44"/>
      <c r="B29" s="44"/>
      <c r="C29" s="45"/>
      <c r="D29" s="42"/>
      <c r="E29" s="42"/>
      <c r="F29" s="42"/>
      <c r="G29" s="42" t="s">
        <v>16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ht="15.0" customHeight="1">
      <c r="A30" s="44"/>
      <c r="B30" s="44"/>
      <c r="C30" s="45"/>
      <c r="D30" s="45"/>
      <c r="E30" s="42"/>
      <c r="F30" s="42"/>
      <c r="G30" s="42" t="s">
        <v>16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ht="15.0" customHeight="1">
      <c r="A31" s="44"/>
      <c r="B31" s="44"/>
      <c r="C31" s="45"/>
      <c r="D31" s="45"/>
      <c r="E31" s="42"/>
      <c r="F31" s="42"/>
      <c r="G31" s="42" t="s">
        <v>16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F32" si="2">IF((COUNTIF(E8:E31,"*P*") + COUNTIF(E8:E31, "*L*")) &gt;= 0, COUNTIF(E8:E31,"*P*") + COUNTIF(E8:E31, "*L*"), "")</f>
        <v>0</v>
      </c>
      <c r="F32" s="49">
        <f t="shared" si="2"/>
        <v>0</v>
      </c>
      <c r="G32" s="49">
        <f>IF((COUNTIF(#REF!,"*P*") + COUNTIF(#REF!, "*L*")) &gt;= 0, COUNTIF(#REF!,"*P*") + COUNTIF(#REF!, "*L*"), "")</f>
        <v>0</v>
      </c>
      <c r="H32" s="49">
        <f>IF((COUNTIF(G8:G31,"*P*") + COUNTIF(G8:G31, "*L*")) &gt;= 0, COUNTIF(G8:G31,"*P*") + COUNTIF(G8:G31, "*L*"), "")</f>
        <v>0</v>
      </c>
      <c r="I32" s="49">
        <f t="shared" ref="I32:AA32" si="3">IF((COUNTIF(I8:I31,"*P*") + COUNTIF(I8:I31, "*L*")) &gt;= 0, COUNTIF(I8:I31,"*P*") + COUNTIF(I8:I31, "*L*"), "")</f>
        <v>0</v>
      </c>
      <c r="J32" s="49">
        <f t="shared" si="3"/>
        <v>0</v>
      </c>
      <c r="K32" s="49">
        <f t="shared" si="3"/>
        <v>0</v>
      </c>
      <c r="L32" s="49">
        <f t="shared" si="3"/>
        <v>0</v>
      </c>
      <c r="M32" s="49">
        <f t="shared" si="3"/>
        <v>0</v>
      </c>
      <c r="N32" s="49">
        <f t="shared" si="3"/>
        <v>0</v>
      </c>
      <c r="O32" s="49">
        <f t="shared" si="3"/>
        <v>0</v>
      </c>
      <c r="P32" s="49">
        <f t="shared" si="3"/>
        <v>0</v>
      </c>
      <c r="Q32" s="49">
        <f t="shared" si="3"/>
        <v>0</v>
      </c>
      <c r="R32" s="49">
        <f t="shared" si="3"/>
        <v>0</v>
      </c>
      <c r="S32" s="49">
        <f t="shared" si="3"/>
        <v>0</v>
      </c>
      <c r="T32" s="49">
        <f t="shared" si="3"/>
        <v>0</v>
      </c>
      <c r="U32" s="49">
        <f t="shared" si="3"/>
        <v>0</v>
      </c>
      <c r="V32" s="49">
        <f t="shared" si="3"/>
        <v>0</v>
      </c>
      <c r="W32" s="49">
        <f t="shared" si="3"/>
        <v>0</v>
      </c>
      <c r="X32" s="49">
        <f t="shared" si="3"/>
        <v>0</v>
      </c>
      <c r="Y32" s="49">
        <f t="shared" si="3"/>
        <v>0</v>
      </c>
      <c r="Z32" s="49">
        <f t="shared" si="3"/>
        <v>0</v>
      </c>
      <c r="AA32" s="49">
        <f t="shared" si="3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F33" si="4">IF((COUNTIF(E8:E31,"*A*") + COUNTIF(E8:E31, "*E*")) &gt;= 0, COUNTIF(E8:E31,"*A*") + COUNTIF(E8:E31, "*E*"), "")</f>
        <v>0</v>
      </c>
      <c r="F33" s="54">
        <f t="shared" si="4"/>
        <v>0</v>
      </c>
      <c r="G33" s="54">
        <f>IF((COUNTIF(#REF!,"*A*") + COUNTIF(#REF!, "*E*")) &gt;= 0, COUNTIF(#REF!,"*A*") + COUNTIF(#REF!, "*E*"), "")</f>
        <v>0</v>
      </c>
      <c r="H33" s="54">
        <f>IF((COUNTIF(G8:G31,"*A*") + COUNTIF(G8:G31, "*E*")) &gt;= 0, COUNTIF(G8:G31,"*A*") + COUNTIF(G8:G31, "*E*"), "")</f>
        <v>0</v>
      </c>
      <c r="I33" s="54">
        <f t="shared" ref="I33:AA33" si="5">IF((COUNTIF(I8:I31,"*A*") + COUNTIF(I8:I31, "*E*")) &gt;= 0, COUNTIF(I8:I31,"*A*") + COUNTIF(I8:I31, "*E*"), "")</f>
        <v>0</v>
      </c>
      <c r="J33" s="54">
        <f t="shared" si="5"/>
        <v>0</v>
      </c>
      <c r="K33" s="54">
        <f t="shared" si="5"/>
        <v>0</v>
      </c>
      <c r="L33" s="54">
        <f t="shared" si="5"/>
        <v>0</v>
      </c>
      <c r="M33" s="54">
        <f t="shared" si="5"/>
        <v>0</v>
      </c>
      <c r="N33" s="54">
        <f t="shared" si="5"/>
        <v>0</v>
      </c>
      <c r="O33" s="54">
        <f t="shared" si="5"/>
        <v>0</v>
      </c>
      <c r="P33" s="54">
        <f t="shared" si="5"/>
        <v>0</v>
      </c>
      <c r="Q33" s="54">
        <f t="shared" si="5"/>
        <v>0</v>
      </c>
      <c r="R33" s="54">
        <f t="shared" si="5"/>
        <v>0</v>
      </c>
      <c r="S33" s="54">
        <f t="shared" si="5"/>
        <v>0</v>
      </c>
      <c r="T33" s="54">
        <f t="shared" si="5"/>
        <v>0</v>
      </c>
      <c r="U33" s="54">
        <f t="shared" si="5"/>
        <v>0</v>
      </c>
      <c r="V33" s="54">
        <f t="shared" si="5"/>
        <v>0</v>
      </c>
      <c r="W33" s="54">
        <f t="shared" si="5"/>
        <v>0</v>
      </c>
      <c r="X33" s="54">
        <f t="shared" si="5"/>
        <v>0</v>
      </c>
      <c r="Y33" s="54">
        <f t="shared" si="5"/>
        <v>0</v>
      </c>
      <c r="Z33" s="54">
        <f t="shared" si="5"/>
        <v>0</v>
      </c>
      <c r="AA33" s="54">
        <f t="shared" si="5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6">SUM(E32+E33)</f>
        <v>0</v>
      </c>
      <c r="F34" s="55">
        <f t="shared" si="6"/>
        <v>0</v>
      </c>
      <c r="G34" s="55">
        <f t="shared" si="6"/>
        <v>0</v>
      </c>
      <c r="H34" s="55">
        <f t="shared" si="6"/>
        <v>0</v>
      </c>
      <c r="I34" s="55">
        <f t="shared" si="6"/>
        <v>0</v>
      </c>
      <c r="J34" s="55">
        <f t="shared" si="6"/>
        <v>0</v>
      </c>
      <c r="K34" s="55">
        <f t="shared" si="6"/>
        <v>0</v>
      </c>
      <c r="L34" s="55">
        <f t="shared" si="6"/>
        <v>0</v>
      </c>
      <c r="M34" s="55">
        <f t="shared" si="6"/>
        <v>0</v>
      </c>
      <c r="N34" s="55">
        <f t="shared" si="6"/>
        <v>0</v>
      </c>
      <c r="O34" s="55">
        <f t="shared" si="6"/>
        <v>0</v>
      </c>
      <c r="P34" s="55">
        <f t="shared" si="6"/>
        <v>0</v>
      </c>
      <c r="Q34" s="55">
        <f t="shared" si="6"/>
        <v>0</v>
      </c>
      <c r="R34" s="55">
        <f t="shared" si="6"/>
        <v>0</v>
      </c>
      <c r="S34" s="55">
        <f t="shared" si="6"/>
        <v>0</v>
      </c>
      <c r="T34" s="55">
        <f t="shared" si="6"/>
        <v>0</v>
      </c>
      <c r="U34" s="55">
        <f t="shared" si="6"/>
        <v>0</v>
      </c>
      <c r="V34" s="55">
        <f t="shared" si="6"/>
        <v>0</v>
      </c>
      <c r="W34" s="55">
        <f t="shared" si="6"/>
        <v>0</v>
      </c>
      <c r="X34" s="55">
        <f t="shared" si="6"/>
        <v>0</v>
      </c>
      <c r="Y34" s="55">
        <f t="shared" si="6"/>
        <v>0</v>
      </c>
      <c r="Z34" s="55">
        <f t="shared" si="6"/>
        <v>0</v>
      </c>
      <c r="AA34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SUM(E32:Y32)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sum(E34:Y34)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1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1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1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5.0" customHeight="1">
      <c r="A28" s="41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5.0" customHeight="1">
      <c r="A29" s="44"/>
      <c r="B29" s="44"/>
      <c r="C29" s="4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5.0" customHeight="1">
      <c r="A30" s="44"/>
      <c r="B30" s="44"/>
      <c r="C30" s="45"/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5.0" customHeight="1">
      <c r="A31" s="44"/>
      <c r="B31" s="44"/>
      <c r="C31" s="45"/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30.0" customHeight="1">
      <c r="A32" s="46"/>
      <c r="B32" s="46"/>
      <c r="C32" s="47"/>
      <c r="D32" s="48" t="s">
        <v>94</v>
      </c>
      <c r="E32" s="49">
        <f t="shared" ref="E32:Y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0</v>
      </c>
      <c r="L32" s="49">
        <f t="shared" si="2"/>
        <v>0</v>
      </c>
      <c r="M32" s="49">
        <f t="shared" si="2"/>
        <v>0</v>
      </c>
      <c r="N32" s="49">
        <f t="shared" si="2"/>
        <v>0</v>
      </c>
      <c r="O32" s="49">
        <f t="shared" si="2"/>
        <v>0</v>
      </c>
      <c r="P32" s="49">
        <f t="shared" si="2"/>
        <v>0</v>
      </c>
      <c r="Q32" s="49">
        <f t="shared" si="2"/>
        <v>0</v>
      </c>
      <c r="R32" s="49">
        <f t="shared" si="2"/>
        <v>0</v>
      </c>
      <c r="S32" s="49">
        <f t="shared" si="2"/>
        <v>0</v>
      </c>
      <c r="T32" s="49">
        <f t="shared" si="2"/>
        <v>0</v>
      </c>
      <c r="U32" s="49">
        <f t="shared" si="2"/>
        <v>0</v>
      </c>
      <c r="V32" s="49">
        <f t="shared" si="2"/>
        <v>0</v>
      </c>
      <c r="W32" s="49">
        <f t="shared" si="2"/>
        <v>0</v>
      </c>
      <c r="X32" s="49">
        <f t="shared" si="2"/>
        <v>0</v>
      </c>
      <c r="Y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Y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Y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0</v>
      </c>
      <c r="L34" s="55">
        <f t="shared" si="4"/>
        <v>0</v>
      </c>
      <c r="M34" s="55">
        <f t="shared" si="4"/>
        <v>0</v>
      </c>
      <c r="N34" s="55">
        <f t="shared" si="4"/>
        <v>0</v>
      </c>
      <c r="O34" s="55">
        <f t="shared" si="4"/>
        <v>0</v>
      </c>
      <c r="P34" s="55">
        <f t="shared" si="4"/>
        <v>0</v>
      </c>
      <c r="Q34" s="55">
        <f t="shared" si="4"/>
        <v>0</v>
      </c>
      <c r="R34" s="55">
        <f t="shared" si="4"/>
        <v>0</v>
      </c>
      <c r="S34" s="55">
        <f t="shared" si="4"/>
        <v>0</v>
      </c>
      <c r="T34" s="55">
        <f t="shared" si="4"/>
        <v>0</v>
      </c>
      <c r="U34" s="55">
        <f t="shared" si="4"/>
        <v>0</v>
      </c>
      <c r="V34" s="55">
        <f t="shared" si="4"/>
        <v>0</v>
      </c>
      <c r="W34" s="55">
        <f t="shared" si="4"/>
        <v>0</v>
      </c>
      <c r="X34" s="55">
        <f t="shared" si="4"/>
        <v>0</v>
      </c>
      <c r="Y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31">
    <cfRule type="cellIs" dxfId="0" priority="4" operator="equal">
      <formula>"S"</formula>
    </cfRule>
  </conditionalFormatting>
  <conditionalFormatting sqref="E8:Y31">
    <cfRule type="cellIs" dxfId="1" priority="5" operator="equal">
      <formula>"N"</formula>
    </cfRule>
  </conditionalFormatting>
  <conditionalFormatting sqref="E8:Y31">
    <cfRule type="cellIs" dxfId="2" priority="6" operator="equal">
      <formula>"D"</formula>
    </cfRule>
  </conditionalFormatting>
  <conditionalFormatting sqref="E8:Y31">
    <cfRule type="cellIs" dxfId="9" priority="7" operator="equal">
      <formula>"R"</formula>
    </cfRule>
  </conditionalFormatting>
  <conditionalFormatting sqref="E8:Y31">
    <cfRule type="cellIs" dxfId="4" priority="8" operator="equal">
      <formula>"H"</formula>
    </cfRule>
  </conditionalFormatting>
  <conditionalFormatting sqref="E8:Y31">
    <cfRule type="cellIs" dxfId="5" priority="9" operator="equal">
      <formula>"E"</formula>
    </cfRule>
  </conditionalFormatting>
  <conditionalFormatting sqref="E8:Y31">
    <cfRule type="cellIs" dxfId="10" priority="10" operator="equal">
      <formula>"L"</formula>
    </cfRule>
  </conditionalFormatting>
  <conditionalFormatting sqref="E8:Y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SUM(E32:Z32)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sum(E34:Z34)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1"/>
      <c r="B25" s="41"/>
      <c r="C25" s="42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1"/>
      <c r="B26" s="41"/>
      <c r="C26" s="42"/>
      <c r="D26" s="42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1"/>
      <c r="B27" s="41"/>
      <c r="C27" s="42"/>
      <c r="D27" s="42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0" customHeight="1">
      <c r="A28" s="41"/>
      <c r="B28" s="41"/>
      <c r="C28" s="42"/>
      <c r="D28" s="42"/>
      <c r="F28" s="42"/>
      <c r="G28" s="42"/>
      <c r="H28" s="42"/>
      <c r="I28" s="42" t="s">
        <v>16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0" customHeight="1">
      <c r="A29" s="44"/>
      <c r="B29" s="44"/>
      <c r="C29" s="45"/>
      <c r="D29" s="42"/>
      <c r="F29" s="42"/>
      <c r="G29" s="42"/>
      <c r="H29" s="42"/>
      <c r="I29" s="42" t="s">
        <v>16</v>
      </c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0" customHeight="1">
      <c r="A30" s="44"/>
      <c r="B30" s="44"/>
      <c r="C30" s="45"/>
      <c r="D30" s="45"/>
      <c r="F30" s="42"/>
      <c r="G30" s="42"/>
      <c r="H30" s="42"/>
      <c r="I30" s="42" t="s">
        <v>16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0" customHeight="1">
      <c r="A31" s="44"/>
      <c r="B31" s="44"/>
      <c r="C31" s="45"/>
      <c r="D31" s="45"/>
      <c r="F31" s="42"/>
      <c r="G31" s="42"/>
      <c r="H31" s="42"/>
      <c r="I31" s="42" t="s">
        <v>16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30.0" customHeight="1">
      <c r="A32" s="46"/>
      <c r="B32" s="46"/>
      <c r="C32" s="47"/>
      <c r="D32" s="48" t="s">
        <v>94</v>
      </c>
      <c r="E32" s="49">
        <f>IF((COUNTIF(I8:I31,"*P*") + COUNTIF(I8:I31, "*L*")) &gt;= 0, COUNTIF(I8:I31,"*P*") + COUNTIF(I8:I31, "*L*"), "")</f>
        <v>0</v>
      </c>
      <c r="F32" s="49">
        <f t="shared" ref="F32:H32" si="2">IF((COUNTIF(F8:F31,"*P*") + COUNTIF(F8:F31, "*L*")) &gt;= 0, COUNTIF(F8:F31,"*P*") + COUNTIF(F8:F31, "*L*"), "")</f>
        <v>0</v>
      </c>
      <c r="G32" s="49">
        <f t="shared" si="2"/>
        <v>0</v>
      </c>
      <c r="H32" s="49">
        <f t="shared" si="2"/>
        <v>0</v>
      </c>
      <c r="I32" s="49">
        <f>IF((COUNTIF(#REF!,"*P*") + COUNTIF(#REF!, "*L*")) &gt;= 0, COUNTIF(#REF!,"*P*") + COUNTIF(#REF!, "*L*"), "")</f>
        <v>0</v>
      </c>
      <c r="J32" s="49">
        <f t="shared" ref="J32:Z32" si="3">IF((COUNTIF(J8:J31,"*P*") + COUNTIF(J8:J31, "*L*")) &gt;= 0, COUNTIF(J8:J31,"*P*") + COUNTIF(J8:J31, "*L*"), "")</f>
        <v>0</v>
      </c>
      <c r="K32" s="49">
        <f t="shared" si="3"/>
        <v>0</v>
      </c>
      <c r="L32" s="49">
        <f t="shared" si="3"/>
        <v>0</v>
      </c>
      <c r="M32" s="49">
        <f t="shared" si="3"/>
        <v>0</v>
      </c>
      <c r="N32" s="49">
        <f t="shared" si="3"/>
        <v>0</v>
      </c>
      <c r="O32" s="49">
        <f t="shared" si="3"/>
        <v>0</v>
      </c>
      <c r="P32" s="49">
        <f t="shared" si="3"/>
        <v>0</v>
      </c>
      <c r="Q32" s="49">
        <f t="shared" si="3"/>
        <v>0</v>
      </c>
      <c r="R32" s="49">
        <f t="shared" si="3"/>
        <v>0</v>
      </c>
      <c r="S32" s="49">
        <f t="shared" si="3"/>
        <v>0</v>
      </c>
      <c r="T32" s="49">
        <f t="shared" si="3"/>
        <v>0</v>
      </c>
      <c r="U32" s="49">
        <f t="shared" si="3"/>
        <v>0</v>
      </c>
      <c r="V32" s="49">
        <f t="shared" si="3"/>
        <v>0</v>
      </c>
      <c r="W32" s="49">
        <f t="shared" si="3"/>
        <v>0</v>
      </c>
      <c r="X32" s="49">
        <f t="shared" si="3"/>
        <v>0</v>
      </c>
      <c r="Y32" s="49">
        <f t="shared" si="3"/>
        <v>0</v>
      </c>
      <c r="Z32" s="49">
        <f t="shared" si="3"/>
        <v>0</v>
      </c>
    </row>
    <row r="33" ht="30.0" customHeight="1">
      <c r="A33" s="50"/>
      <c r="B33" s="51"/>
      <c r="C33" s="52"/>
      <c r="D33" s="53" t="s">
        <v>95</v>
      </c>
      <c r="E33" s="54">
        <f>IF((COUNTIF(I8:I31,"*A*") + COUNTIF(I8:I31, "*E*")) &gt;= 0, COUNTIF(I8:I31,"*A*") + COUNTIF(I8:I31, "*E*"), "")</f>
        <v>0</v>
      </c>
      <c r="F33" s="54">
        <f t="shared" ref="F33:H33" si="4">IF((COUNTIF(F8:F31,"*A*") + COUNTIF(F8:F31, "*E*")) &gt;= 0, COUNTIF(F8:F31,"*A*") + COUNTIF(F8:F31, "*E*"), "")</f>
        <v>0</v>
      </c>
      <c r="G33" s="54">
        <f t="shared" si="4"/>
        <v>0</v>
      </c>
      <c r="H33" s="54">
        <f t="shared" si="4"/>
        <v>0</v>
      </c>
      <c r="I33" s="54">
        <f>IF((COUNTIF(#REF!,"*A*") + COUNTIF(#REF!, "*E*")) &gt;= 0, COUNTIF(#REF!,"*A*") + COUNTIF(#REF!, "*E*"), "")</f>
        <v>0</v>
      </c>
      <c r="J33" s="54">
        <f t="shared" ref="J33:Z33" si="5">IF((COUNTIF(J8:J31,"*A*") + COUNTIF(J8:J31, "*E*")) &gt;= 0, COUNTIF(J8:J31,"*A*") + COUNTIF(J8:J31, "*E*"), "")</f>
        <v>0</v>
      </c>
      <c r="K33" s="54">
        <f t="shared" si="5"/>
        <v>0</v>
      </c>
      <c r="L33" s="54">
        <f t="shared" si="5"/>
        <v>0</v>
      </c>
      <c r="M33" s="54">
        <f t="shared" si="5"/>
        <v>0</v>
      </c>
      <c r="N33" s="54">
        <f t="shared" si="5"/>
        <v>0</v>
      </c>
      <c r="O33" s="54">
        <f t="shared" si="5"/>
        <v>0</v>
      </c>
      <c r="P33" s="54">
        <f t="shared" si="5"/>
        <v>0</v>
      </c>
      <c r="Q33" s="54">
        <f t="shared" si="5"/>
        <v>0</v>
      </c>
      <c r="R33" s="54">
        <f t="shared" si="5"/>
        <v>0</v>
      </c>
      <c r="S33" s="54">
        <f t="shared" si="5"/>
        <v>0</v>
      </c>
      <c r="T33" s="54">
        <f t="shared" si="5"/>
        <v>0</v>
      </c>
      <c r="U33" s="54">
        <f t="shared" si="5"/>
        <v>0</v>
      </c>
      <c r="V33" s="54">
        <f t="shared" si="5"/>
        <v>0</v>
      </c>
      <c r="W33" s="54">
        <f t="shared" si="5"/>
        <v>0</v>
      </c>
      <c r="X33" s="54">
        <f t="shared" si="5"/>
        <v>0</v>
      </c>
      <c r="Y33" s="54">
        <f t="shared" si="5"/>
        <v>0</v>
      </c>
      <c r="Z33" s="54">
        <f t="shared" si="5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Z34" si="6">SUM(E32+E33)</f>
        <v>0</v>
      </c>
      <c r="F34" s="55">
        <f t="shared" si="6"/>
        <v>0</v>
      </c>
      <c r="G34" s="55">
        <f t="shared" si="6"/>
        <v>0</v>
      </c>
      <c r="H34" s="55">
        <f t="shared" si="6"/>
        <v>0</v>
      </c>
      <c r="I34" s="55">
        <f t="shared" si="6"/>
        <v>0</v>
      </c>
      <c r="J34" s="55">
        <f t="shared" si="6"/>
        <v>0</v>
      </c>
      <c r="K34" s="55">
        <f t="shared" si="6"/>
        <v>0</v>
      </c>
      <c r="L34" s="55">
        <f t="shared" si="6"/>
        <v>0</v>
      </c>
      <c r="M34" s="55">
        <f t="shared" si="6"/>
        <v>0</v>
      </c>
      <c r="N34" s="55">
        <f t="shared" si="6"/>
        <v>0</v>
      </c>
      <c r="O34" s="55">
        <f t="shared" si="6"/>
        <v>0</v>
      </c>
      <c r="P34" s="55">
        <f t="shared" si="6"/>
        <v>0</v>
      </c>
      <c r="Q34" s="55">
        <f t="shared" si="6"/>
        <v>0</v>
      </c>
      <c r="R34" s="55">
        <f t="shared" si="6"/>
        <v>0</v>
      </c>
      <c r="S34" s="55">
        <f t="shared" si="6"/>
        <v>0</v>
      </c>
      <c r="T34" s="55">
        <f t="shared" si="6"/>
        <v>0</v>
      </c>
      <c r="U34" s="55">
        <f t="shared" si="6"/>
        <v>0</v>
      </c>
      <c r="V34" s="55">
        <f t="shared" si="6"/>
        <v>0</v>
      </c>
      <c r="W34" s="55">
        <f t="shared" si="6"/>
        <v>0</v>
      </c>
      <c r="X34" s="55">
        <f t="shared" si="6"/>
        <v>0</v>
      </c>
      <c r="Y34" s="55">
        <f t="shared" si="6"/>
        <v>0</v>
      </c>
      <c r="Z34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31">
    <cfRule type="cellIs" dxfId="0" priority="4" operator="equal">
      <formula>"S"</formula>
    </cfRule>
  </conditionalFormatting>
  <conditionalFormatting sqref="E8:Z31">
    <cfRule type="cellIs" dxfId="1" priority="5" operator="equal">
      <formula>"N"</formula>
    </cfRule>
  </conditionalFormatting>
  <conditionalFormatting sqref="E8:Z31">
    <cfRule type="cellIs" dxfId="2" priority="6" operator="equal">
      <formula>"D"</formula>
    </cfRule>
  </conditionalFormatting>
  <conditionalFormatting sqref="E8:Z31">
    <cfRule type="cellIs" dxfId="9" priority="7" operator="equal">
      <formula>"R"</formula>
    </cfRule>
  </conditionalFormatting>
  <conditionalFormatting sqref="E8:Z31">
    <cfRule type="cellIs" dxfId="4" priority="8" operator="equal">
      <formula>"H"</formula>
    </cfRule>
  </conditionalFormatting>
  <conditionalFormatting sqref="E8:Z31">
    <cfRule type="cellIs" dxfId="5" priority="9" operator="equal">
      <formula>"E"</formula>
    </cfRule>
  </conditionalFormatting>
  <conditionalFormatting sqref="E8:Z31">
    <cfRule type="cellIs" dxfId="10" priority="10" operator="equal">
      <formula>"L"</formula>
    </cfRule>
  </conditionalFormatting>
  <conditionalFormatting sqref="E8:Z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1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1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1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15.0" customHeight="1">
      <c r="A28" s="41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ht="15.0" customHeight="1">
      <c r="A29" s="44"/>
      <c r="B29" s="44"/>
      <c r="C29" s="4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ht="15.0" customHeight="1">
      <c r="A30" s="44"/>
      <c r="B30" s="44"/>
      <c r="C30" s="45"/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ht="15.0" customHeight="1">
      <c r="A31" s="44"/>
      <c r="B31" s="44"/>
      <c r="C31" s="45"/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0</v>
      </c>
      <c r="L32" s="49">
        <f t="shared" si="2"/>
        <v>0</v>
      </c>
      <c r="M32" s="49">
        <f t="shared" si="2"/>
        <v>0</v>
      </c>
      <c r="N32" s="49">
        <f t="shared" si="2"/>
        <v>0</v>
      </c>
      <c r="O32" s="49">
        <f t="shared" si="2"/>
        <v>0</v>
      </c>
      <c r="P32" s="49">
        <f t="shared" si="2"/>
        <v>0</v>
      </c>
      <c r="Q32" s="49">
        <f t="shared" si="2"/>
        <v>0</v>
      </c>
      <c r="R32" s="49">
        <f t="shared" si="2"/>
        <v>0</v>
      </c>
      <c r="S32" s="49">
        <f t="shared" si="2"/>
        <v>0</v>
      </c>
      <c r="T32" s="49">
        <f t="shared" si="2"/>
        <v>0</v>
      </c>
      <c r="U32" s="49">
        <f t="shared" si="2"/>
        <v>0</v>
      </c>
      <c r="V32" s="49">
        <f t="shared" si="2"/>
        <v>0</v>
      </c>
      <c r="W32" s="49">
        <f t="shared" si="2"/>
        <v>0</v>
      </c>
      <c r="X32" s="49">
        <f t="shared" si="2"/>
        <v>0</v>
      </c>
      <c r="Y32" s="49">
        <f t="shared" si="2"/>
        <v>0</v>
      </c>
      <c r="Z32" s="49">
        <f t="shared" si="2"/>
        <v>0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0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0</v>
      </c>
      <c r="L34" s="55">
        <f t="shared" si="4"/>
        <v>0</v>
      </c>
      <c r="M34" s="55">
        <f t="shared" si="4"/>
        <v>0</v>
      </c>
      <c r="N34" s="55">
        <f t="shared" si="4"/>
        <v>0</v>
      </c>
      <c r="O34" s="55">
        <f t="shared" si="4"/>
        <v>0</v>
      </c>
      <c r="P34" s="55">
        <f t="shared" si="4"/>
        <v>0</v>
      </c>
      <c r="Q34" s="55">
        <f t="shared" si="4"/>
        <v>0</v>
      </c>
      <c r="R34" s="55">
        <f t="shared" si="4"/>
        <v>0</v>
      </c>
      <c r="S34" s="55">
        <f t="shared" si="4"/>
        <v>0</v>
      </c>
      <c r="T34" s="55">
        <f t="shared" si="4"/>
        <v>0</v>
      </c>
      <c r="U34" s="55">
        <f t="shared" si="4"/>
        <v>0</v>
      </c>
      <c r="V34" s="55">
        <f t="shared" si="4"/>
        <v>0</v>
      </c>
      <c r="W34" s="55">
        <f t="shared" si="4"/>
        <v>0</v>
      </c>
      <c r="X34" s="55">
        <f t="shared" si="4"/>
        <v>0</v>
      </c>
      <c r="Y34" s="55">
        <f t="shared" si="4"/>
        <v>0</v>
      </c>
      <c r="Z34" s="55">
        <f t="shared" si="4"/>
        <v>0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SUM(E32:Y32)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sum(E34:Y34)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1"/>
      <c r="B25" s="41"/>
      <c r="C25" s="42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1"/>
      <c r="B26" s="41"/>
      <c r="C26" s="42"/>
      <c r="D26" s="42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1"/>
      <c r="B27" s="41"/>
      <c r="C27" s="42"/>
      <c r="D27" s="42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5.0" customHeight="1">
      <c r="A28" s="41"/>
      <c r="B28" s="41"/>
      <c r="C28" s="42"/>
      <c r="D28" s="42"/>
      <c r="E28" s="42"/>
      <c r="F28" s="42"/>
      <c r="G28" s="42"/>
      <c r="H28" s="42"/>
      <c r="I28" s="42"/>
      <c r="J28" s="42"/>
      <c r="L28" s="42" t="s">
        <v>16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 t="s">
        <v>16</v>
      </c>
      <c r="X28" s="42" t="s">
        <v>16</v>
      </c>
      <c r="Y28" s="42"/>
    </row>
    <row r="29" ht="15.0" customHeight="1">
      <c r="A29" s="44"/>
      <c r="B29" s="44"/>
      <c r="C29" s="45"/>
      <c r="D29" s="42"/>
      <c r="E29" s="42"/>
      <c r="F29" s="42"/>
      <c r="G29" s="42"/>
      <c r="H29" s="42"/>
      <c r="I29" s="42"/>
      <c r="J29" s="42"/>
      <c r="L29" s="42" t="s">
        <v>16</v>
      </c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 t="s">
        <v>16</v>
      </c>
      <c r="X29" s="42" t="s">
        <v>16</v>
      </c>
      <c r="Y29" s="42"/>
    </row>
    <row r="30" ht="15.0" customHeight="1">
      <c r="A30" s="44"/>
      <c r="B30" s="44"/>
      <c r="C30" s="45"/>
      <c r="D30" s="45"/>
      <c r="E30" s="42"/>
      <c r="F30" s="42"/>
      <c r="G30" s="42"/>
      <c r="H30" s="42"/>
      <c r="I30" s="42"/>
      <c r="J30" s="42"/>
      <c r="L30" s="42" t="s">
        <v>16</v>
      </c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 t="s">
        <v>16</v>
      </c>
      <c r="X30" s="42" t="s">
        <v>16</v>
      </c>
      <c r="Y30" s="42"/>
    </row>
    <row r="31" ht="15.0" customHeight="1">
      <c r="A31" s="44"/>
      <c r="B31" s="44"/>
      <c r="C31" s="45"/>
      <c r="D31" s="45"/>
      <c r="E31" s="42"/>
      <c r="F31" s="42"/>
      <c r="G31" s="42"/>
      <c r="H31" s="42"/>
      <c r="I31" s="42"/>
      <c r="J31" s="42"/>
      <c r="L31" s="42" t="s">
        <v>16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 t="s">
        <v>16</v>
      </c>
      <c r="X31" s="42" t="s">
        <v>16</v>
      </c>
      <c r="Y31" s="42"/>
    </row>
    <row r="32" ht="30.0" customHeight="1">
      <c r="A32" s="46"/>
      <c r="B32" s="46"/>
      <c r="C32" s="47"/>
      <c r="D32" s="48" t="s">
        <v>94</v>
      </c>
      <c r="E32" s="49">
        <f t="shared" ref="E32:J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>IF((COUNTIF(L8:L31,"*P*") + COUNTIF(L8:L31, "*L*")) &gt;= 0, COUNTIF(L8:L31,"*P*") + COUNTIF(L8:L31, "*L*"), "")</f>
        <v>0</v>
      </c>
      <c r="L32" s="49">
        <f>IF((COUNTIF(#REF!,"*P*") + COUNTIF(#REF!, "*L*")) &gt;= 0, COUNTIF(#REF!,"*P*") + COUNTIF(#REF!, "*L*"), "")</f>
        <v>0</v>
      </c>
      <c r="M32" s="49">
        <f t="shared" ref="M32:W32" si="3">IF((COUNTIF(M8:M31,"*P*") + COUNTIF(M8:M31, "*L*")) &gt;= 0, COUNTIF(M8:M31,"*P*") + COUNTIF(M8:M31, "*L*"), "")</f>
        <v>0</v>
      </c>
      <c r="N32" s="49">
        <f t="shared" si="3"/>
        <v>0</v>
      </c>
      <c r="O32" s="49">
        <f t="shared" si="3"/>
        <v>0</v>
      </c>
      <c r="P32" s="49">
        <f t="shared" si="3"/>
        <v>0</v>
      </c>
      <c r="Q32" s="49">
        <f t="shared" si="3"/>
        <v>0</v>
      </c>
      <c r="R32" s="49">
        <f t="shared" si="3"/>
        <v>0</v>
      </c>
      <c r="S32" s="49">
        <f t="shared" si="3"/>
        <v>0</v>
      </c>
      <c r="T32" s="49">
        <f t="shared" si="3"/>
        <v>0</v>
      </c>
      <c r="U32" s="49">
        <f t="shared" si="3"/>
        <v>0</v>
      </c>
      <c r="V32" s="49">
        <f t="shared" si="3"/>
        <v>0</v>
      </c>
      <c r="W32" s="49">
        <f t="shared" si="3"/>
        <v>0</v>
      </c>
      <c r="X32" s="49"/>
      <c r="Y32" s="49">
        <f>IF((COUNTIF(Y8:Y31,"*P*") + COUNTIF(Y8:Y31, "*L*")) &gt;= 0, COUNTIF(Y8:Y31,"*P*") + COUNTIF(Y8:Y31, "*L*"), "")</f>
        <v>0</v>
      </c>
    </row>
    <row r="33" ht="30.0" customHeight="1">
      <c r="A33" s="50"/>
      <c r="B33" s="51"/>
      <c r="C33" s="52"/>
      <c r="D33" s="53" t="s">
        <v>95</v>
      </c>
      <c r="E33" s="54">
        <f t="shared" ref="E33:J33" si="4">IF((COUNTIF(E8:E31,"*A*") + COUNTIF(E8:E31, "*E*")) &gt;= 0, COUNTIF(E8:E31,"*A*") + COUNTIF(E8:E31, "*E*"), "")</f>
        <v>0</v>
      </c>
      <c r="F33" s="54">
        <f t="shared" si="4"/>
        <v>0</v>
      </c>
      <c r="G33" s="54">
        <f t="shared" si="4"/>
        <v>0</v>
      </c>
      <c r="H33" s="54">
        <f t="shared" si="4"/>
        <v>0</v>
      </c>
      <c r="I33" s="54">
        <f t="shared" si="4"/>
        <v>0</v>
      </c>
      <c r="J33" s="54">
        <f t="shared" si="4"/>
        <v>0</v>
      </c>
      <c r="K33" s="54">
        <f>IF((COUNTIF(L8:L31,"*A*") + COUNTIF(L8:L31, "*E*")) &gt;= 0, COUNTIF(L8:L31,"*A*") + COUNTIF(L8:L31, "*E*"), "")</f>
        <v>0</v>
      </c>
      <c r="L33" s="54">
        <f>IF((COUNTIF(#REF!,"*A*") + COUNTIF(#REF!, "*E*")) &gt;= 0, COUNTIF(#REF!,"*A*") + COUNTIF(#REF!, "*E*"), "")</f>
        <v>0</v>
      </c>
      <c r="M33" s="54">
        <f t="shared" ref="M33:W33" si="5">IF((COUNTIF(M8:M31,"*A*") + COUNTIF(M8:M31, "*E*")) &gt;= 0, COUNTIF(M8:M31,"*A*") + COUNTIF(M8:M31, "*E*"), "")</f>
        <v>0</v>
      </c>
      <c r="N33" s="54">
        <f t="shared" si="5"/>
        <v>0</v>
      </c>
      <c r="O33" s="54">
        <f t="shared" si="5"/>
        <v>0</v>
      </c>
      <c r="P33" s="54">
        <f t="shared" si="5"/>
        <v>0</v>
      </c>
      <c r="Q33" s="54">
        <f t="shared" si="5"/>
        <v>0</v>
      </c>
      <c r="R33" s="54">
        <f t="shared" si="5"/>
        <v>0</v>
      </c>
      <c r="S33" s="54">
        <f t="shared" si="5"/>
        <v>0</v>
      </c>
      <c r="T33" s="54">
        <f t="shared" si="5"/>
        <v>0</v>
      </c>
      <c r="U33" s="54">
        <f t="shared" si="5"/>
        <v>0</v>
      </c>
      <c r="V33" s="54">
        <f t="shared" si="5"/>
        <v>0</v>
      </c>
      <c r="W33" s="54">
        <f t="shared" si="5"/>
        <v>0</v>
      </c>
      <c r="X33" s="54"/>
      <c r="Y33" s="54">
        <f>IF((COUNTIF(Y8:Y31,"*A*") + COUNTIF(Y8:Y31, "*E*")) &gt;= 0, COUNTIF(Y8:Y31,"*A*") + COUNTIF(Y8:Y31, "*E*"), "")</f>
        <v>0</v>
      </c>
    </row>
    <row r="34" ht="30.0" customHeight="1">
      <c r="A34" s="50"/>
      <c r="B34" s="51"/>
      <c r="C34" s="52"/>
      <c r="D34" s="53" t="s">
        <v>49</v>
      </c>
      <c r="E34" s="55">
        <f t="shared" ref="E34:W34" si="6">SUM(E32+E33)</f>
        <v>0</v>
      </c>
      <c r="F34" s="55">
        <f t="shared" si="6"/>
        <v>0</v>
      </c>
      <c r="G34" s="55">
        <f t="shared" si="6"/>
        <v>0</v>
      </c>
      <c r="H34" s="55">
        <f t="shared" si="6"/>
        <v>0</v>
      </c>
      <c r="I34" s="55">
        <f t="shared" si="6"/>
        <v>0</v>
      </c>
      <c r="J34" s="55">
        <f t="shared" si="6"/>
        <v>0</v>
      </c>
      <c r="K34" s="55">
        <f t="shared" si="6"/>
        <v>0</v>
      </c>
      <c r="L34" s="55">
        <f t="shared" si="6"/>
        <v>0</v>
      </c>
      <c r="M34" s="55">
        <f t="shared" si="6"/>
        <v>0</v>
      </c>
      <c r="N34" s="55">
        <f t="shared" si="6"/>
        <v>0</v>
      </c>
      <c r="O34" s="55">
        <f t="shared" si="6"/>
        <v>0</v>
      </c>
      <c r="P34" s="55">
        <f t="shared" si="6"/>
        <v>0</v>
      </c>
      <c r="Q34" s="55">
        <f t="shared" si="6"/>
        <v>0</v>
      </c>
      <c r="R34" s="55">
        <f t="shared" si="6"/>
        <v>0</v>
      </c>
      <c r="S34" s="55">
        <f t="shared" si="6"/>
        <v>0</v>
      </c>
      <c r="T34" s="55">
        <f t="shared" si="6"/>
        <v>0</v>
      </c>
      <c r="U34" s="55">
        <f t="shared" si="6"/>
        <v>0</v>
      </c>
      <c r="V34" s="55">
        <f t="shared" si="6"/>
        <v>0</v>
      </c>
      <c r="W34" s="55">
        <f t="shared" si="6"/>
        <v>0</v>
      </c>
      <c r="X34" s="55"/>
      <c r="Y34" s="55">
        <f>SUM(Y32+Y33)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31">
    <cfRule type="cellIs" dxfId="0" priority="4" operator="equal">
      <formula>"S"</formula>
    </cfRule>
  </conditionalFormatting>
  <conditionalFormatting sqref="E8:Y31">
    <cfRule type="cellIs" dxfId="1" priority="5" operator="equal">
      <formula>"N"</formula>
    </cfRule>
  </conditionalFormatting>
  <conditionalFormatting sqref="E8:Y31">
    <cfRule type="cellIs" dxfId="2" priority="6" operator="equal">
      <formula>"D"</formula>
    </cfRule>
  </conditionalFormatting>
  <conditionalFormatting sqref="E8:Y31">
    <cfRule type="cellIs" dxfId="9" priority="7" operator="equal">
      <formula>"R"</formula>
    </cfRule>
  </conditionalFormatting>
  <conditionalFormatting sqref="E8:Y31">
    <cfRule type="cellIs" dxfId="4" priority="8" operator="equal">
      <formula>"H"</formula>
    </cfRule>
  </conditionalFormatting>
  <conditionalFormatting sqref="E8:Y31">
    <cfRule type="cellIs" dxfId="5" priority="9" operator="equal">
      <formula>"E"</formula>
    </cfRule>
  </conditionalFormatting>
  <conditionalFormatting sqref="E8:Y31">
    <cfRule type="cellIs" dxfId="10" priority="10" operator="equal">
      <formula>"L"</formula>
    </cfRule>
  </conditionalFormatting>
  <conditionalFormatting sqref="E8:Y31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96</v>
      </c>
      <c r="C2" s="31" t="s">
        <v>34</v>
      </c>
      <c r="D2" s="32" t="s">
        <v>35</v>
      </c>
      <c r="E2" s="29" t="s">
        <v>36</v>
      </c>
      <c r="H2" s="32">
        <v>0.0</v>
      </c>
      <c r="K2" s="29" t="s">
        <v>37</v>
      </c>
      <c r="N2" s="33">
        <f t="shared" ref="N2:N3" si="1">SUM(E32:AA32)</f>
        <v>0</v>
      </c>
      <c r="P2" s="27"/>
    </row>
    <row r="3" ht="15.0" customHeight="1">
      <c r="A3" s="29" t="s">
        <v>38</v>
      </c>
      <c r="B3" s="30" t="s">
        <v>97</v>
      </c>
      <c r="C3" s="31" t="s">
        <v>40</v>
      </c>
      <c r="D3" s="32" t="s">
        <v>98</v>
      </c>
      <c r="E3" s="29" t="s">
        <v>42</v>
      </c>
      <c r="H3" s="32">
        <v>0.0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99</v>
      </c>
      <c r="C4" s="31" t="s">
        <v>46</v>
      </c>
      <c r="D4" s="32" t="s">
        <v>100</v>
      </c>
      <c r="E4" s="29" t="s">
        <v>48</v>
      </c>
      <c r="H4" s="33">
        <f>COUNTIF(D7:D31, "Student - Added")</f>
        <v>0</v>
      </c>
      <c r="K4" s="29" t="s">
        <v>49</v>
      </c>
      <c r="N4" s="33">
        <f>sum(E34:AA34)</f>
        <v>0</v>
      </c>
      <c r="P4" s="27"/>
    </row>
    <row r="5" ht="15.0" customHeight="1">
      <c r="A5" s="29" t="s">
        <v>50</v>
      </c>
      <c r="B5" s="30" t="s">
        <v>170</v>
      </c>
      <c r="C5" s="31" t="s">
        <v>52</v>
      </c>
      <c r="D5" s="32" t="s">
        <v>101</v>
      </c>
      <c r="E5" s="29" t="s">
        <v>54</v>
      </c>
      <c r="H5" s="33">
        <f>COUNTIF(D7:D31, "Student - Dropped") + COUNTIF(D7:D31,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56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1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1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1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15.0" customHeight="1">
      <c r="A28" s="41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 t="s">
        <v>16</v>
      </c>
      <c r="W28" s="42" t="s">
        <v>16</v>
      </c>
      <c r="X28" s="42"/>
      <c r="Y28" s="42"/>
      <c r="Z28" s="42"/>
      <c r="AA28" s="42"/>
    </row>
    <row r="29" ht="15.0" customHeight="1">
      <c r="A29" s="44"/>
      <c r="B29" s="44"/>
      <c r="C29" s="45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 t="s">
        <v>16</v>
      </c>
      <c r="W29" s="42" t="s">
        <v>16</v>
      </c>
      <c r="X29" s="42"/>
      <c r="Y29" s="42"/>
      <c r="Z29" s="42"/>
      <c r="AA29" s="42"/>
    </row>
    <row r="30" ht="15.0" customHeight="1">
      <c r="A30" s="44"/>
      <c r="B30" s="44"/>
      <c r="C30" s="45"/>
      <c r="D30" s="45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 t="s">
        <v>16</v>
      </c>
      <c r="W30" s="42" t="s">
        <v>16</v>
      </c>
      <c r="X30" s="42"/>
      <c r="Y30" s="42"/>
      <c r="Z30" s="42"/>
      <c r="AA30" s="42"/>
    </row>
    <row r="31" ht="15.0" customHeight="1">
      <c r="A31" s="44"/>
      <c r="B31" s="44"/>
      <c r="C31" s="45"/>
      <c r="D31" s="45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 t="s">
        <v>16</v>
      </c>
      <c r="W31" s="42" t="s">
        <v>16</v>
      </c>
      <c r="X31" s="42"/>
      <c r="Y31" s="42"/>
      <c r="Z31" s="42"/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IF((COUNTIF(E8:E31,"*P*") + COUNTIF(E8:E31, "*L*")) &gt;= 0, COUNTIF(E8:E31,"*P*") + COUNTIF(E8:E31,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0</v>
      </c>
      <c r="K32" s="49">
        <f t="shared" si="2"/>
        <v>0</v>
      </c>
      <c r="L32" s="49">
        <f t="shared" si="2"/>
        <v>0</v>
      </c>
      <c r="M32" s="49">
        <f t="shared" si="2"/>
        <v>0</v>
      </c>
      <c r="N32" s="49">
        <f t="shared" si="2"/>
        <v>0</v>
      </c>
      <c r="O32" s="49">
        <f t="shared" si="2"/>
        <v>0</v>
      </c>
      <c r="P32" s="49">
        <f t="shared" si="2"/>
        <v>0</v>
      </c>
      <c r="Q32" s="49">
        <f t="shared" si="2"/>
        <v>0</v>
      </c>
      <c r="R32" s="49">
        <f t="shared" si="2"/>
        <v>0</v>
      </c>
      <c r="S32" s="49">
        <f t="shared" si="2"/>
        <v>0</v>
      </c>
      <c r="T32" s="49">
        <f t="shared" si="2"/>
        <v>0</v>
      </c>
      <c r="U32" s="49">
        <f t="shared" si="2"/>
        <v>0</v>
      </c>
      <c r="V32" s="49">
        <f t="shared" si="2"/>
        <v>0</v>
      </c>
      <c r="W32" s="49">
        <f t="shared" si="2"/>
        <v>0</v>
      </c>
      <c r="X32" s="49">
        <f t="shared" si="2"/>
        <v>0</v>
      </c>
      <c r="Y32" s="49">
        <f t="shared" si="2"/>
        <v>0</v>
      </c>
      <c r="Z32" s="49">
        <f t="shared" si="2"/>
        <v>0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IF((COUNTIF(E8:E31,"*A*") + COUNTIF(E8:E31, "*E*")) &gt;= 0, COUNTIF(E8:E31,"*A*") + COUNTIF(E8:E31,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0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0</v>
      </c>
      <c r="K34" s="55">
        <f t="shared" si="4"/>
        <v>0</v>
      </c>
      <c r="L34" s="55">
        <f t="shared" si="4"/>
        <v>0</v>
      </c>
      <c r="M34" s="55">
        <f t="shared" si="4"/>
        <v>0</v>
      </c>
      <c r="N34" s="55">
        <f t="shared" si="4"/>
        <v>0</v>
      </c>
      <c r="O34" s="55">
        <f t="shared" si="4"/>
        <v>0</v>
      </c>
      <c r="P34" s="55">
        <f t="shared" si="4"/>
        <v>0</v>
      </c>
      <c r="Q34" s="55">
        <f t="shared" si="4"/>
        <v>0</v>
      </c>
      <c r="R34" s="55">
        <f t="shared" si="4"/>
        <v>0</v>
      </c>
      <c r="S34" s="55">
        <f t="shared" si="4"/>
        <v>0</v>
      </c>
      <c r="T34" s="55">
        <f t="shared" si="4"/>
        <v>0</v>
      </c>
      <c r="U34" s="55">
        <f t="shared" si="4"/>
        <v>0</v>
      </c>
      <c r="V34" s="55">
        <f t="shared" si="4"/>
        <v>0</v>
      </c>
      <c r="W34" s="55">
        <f t="shared" si="4"/>
        <v>0</v>
      </c>
      <c r="X34" s="55">
        <f t="shared" si="4"/>
        <v>0</v>
      </c>
      <c r="Y34" s="55">
        <f t="shared" si="4"/>
        <v>0</v>
      </c>
      <c r="Z34" s="55">
        <f t="shared" si="4"/>
        <v>0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